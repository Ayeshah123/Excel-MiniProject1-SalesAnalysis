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0ab391e1a154dc/ドキュメント/Portfolio/1. TableSummary-NoPivotTables/"/>
    </mc:Choice>
  </mc:AlternateContent>
  <xr:revisionPtr revIDLastSave="19" documentId="8_{C8775DA3-6138-48A0-A9FD-032FFC0F0805}" xr6:coauthVersionLast="47" xr6:coauthVersionMax="47" xr10:uidLastSave="{81212286-7EF3-4B03-A768-072141057F16}"/>
  <bookViews>
    <workbookView xWindow="-108" yWindow="-108" windowWidth="23256" windowHeight="12456" activeTab="2" xr2:uid="{9555CACE-2CEB-4EF0-BC96-9C1D1ADCEB48}"/>
  </bookViews>
  <sheets>
    <sheet name="Raw-Sales Dataset" sheetId="2" r:id="rId1"/>
    <sheet name="Cleaned-Sales Dataset" sheetId="3" r:id="rId2"/>
    <sheet name="Insights" sheetId="4" r:id="rId3"/>
  </sheets>
  <definedNames>
    <definedName name="Cleaned_Product_Type">'Cleaned-Sales Dataset'!$O$3:$O$100</definedName>
    <definedName name="ExternalData_1" localSheetId="1" hidden="1">'Cleaned-Sales Dataset'!$A$1:$N$100</definedName>
    <definedName name="Order_Priority">Europe_Sales_Records__2[[#All],[Order Priority]]</definedName>
    <definedName name="Product_Type">Europe_Sales_Records__2[[#All],[Product Type]]</definedName>
    <definedName name="Sales_Channel">Europe_Sales_Records__2[Sales Channel]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 a="1"/>
  <c r="C7" i="4" s="1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H23" i="4" a="1"/>
  <c r="H23" i="4" s="1"/>
  <c r="I23" i="4" s="1"/>
  <c r="L23" i="4" a="1"/>
  <c r="L23" i="4" s="1"/>
  <c r="M22" i="4" a="1"/>
  <c r="M22" i="4" s="1"/>
  <c r="L8" i="4" a="1"/>
  <c r="L8" i="4" s="1"/>
  <c r="M7" i="4" a="1"/>
  <c r="M7" i="4" s="1"/>
  <c r="D7" i="4" l="1"/>
  <c r="M23" i="4" a="1"/>
  <c r="M23" i="4" s="1"/>
  <c r="M26" i="4" a="1"/>
  <c r="M26" i="4" s="1"/>
  <c r="N23" i="4" a="1"/>
  <c r="N23" i="4" s="1"/>
  <c r="N25" i="4" a="1"/>
  <c r="N25" i="4" s="1"/>
  <c r="M28" i="4" a="1"/>
  <c r="M28" i="4" s="1"/>
  <c r="N28" i="4" a="1"/>
  <c r="N28" i="4" s="1"/>
  <c r="M27" i="4" a="1"/>
  <c r="M27" i="4" s="1"/>
  <c r="N27" i="4" a="1"/>
  <c r="N27" i="4" s="1"/>
  <c r="N26" i="4" a="1"/>
  <c r="N26" i="4" s="1"/>
  <c r="M25" i="4" a="1"/>
  <c r="M25" i="4" s="1"/>
  <c r="N24" i="4" a="1"/>
  <c r="N24" i="4" s="1"/>
  <c r="M24" i="4" a="1"/>
  <c r="M24" i="4" s="1"/>
  <c r="M8" i="4" a="1"/>
  <c r="M8" i="4" s="1"/>
  <c r="N12" i="4" a="1"/>
  <c r="N12" i="4" s="1"/>
  <c r="P11" i="4" a="1"/>
  <c r="P11" i="4" s="1"/>
  <c r="O9" i="4" a="1"/>
  <c r="O9" i="4" s="1"/>
  <c r="M11" i="4" a="1"/>
  <c r="M11" i="4" s="1"/>
  <c r="N9" i="4" a="1"/>
  <c r="N9" i="4" s="1"/>
  <c r="M9" i="4" a="1"/>
  <c r="M9" i="4" s="1"/>
  <c r="O13" i="4" a="1"/>
  <c r="O13" i="4" s="1"/>
  <c r="P8" i="4" a="1"/>
  <c r="P8" i="4" s="1"/>
  <c r="O8" i="4" a="1"/>
  <c r="O8" i="4" s="1"/>
  <c r="N13" i="4" a="1"/>
  <c r="N13" i="4" s="1"/>
  <c r="P10" i="4" a="1"/>
  <c r="P10" i="4" s="1"/>
  <c r="N8" i="4" a="1"/>
  <c r="N8" i="4" s="1"/>
  <c r="M13" i="4" a="1"/>
  <c r="M13" i="4" s="1"/>
  <c r="P13" i="4" a="1"/>
  <c r="P13" i="4" s="1"/>
  <c r="N11" i="4" a="1"/>
  <c r="N11" i="4" s="1"/>
  <c r="O10" i="4" a="1"/>
  <c r="O10" i="4" s="1"/>
  <c r="P9" i="4" a="1"/>
  <c r="P9" i="4" s="1"/>
  <c r="M10" i="4" a="1"/>
  <c r="M10" i="4" s="1"/>
  <c r="O11" i="4" a="1"/>
  <c r="O11" i="4" s="1"/>
  <c r="P12" i="4" a="1"/>
  <c r="P12" i="4" s="1"/>
  <c r="N10" i="4" a="1"/>
  <c r="N10" i="4" s="1"/>
  <c r="M12" i="4" a="1"/>
  <c r="M12" i="4" s="1"/>
  <c r="O12" i="4" a="1"/>
  <c r="O12" i="4" s="1"/>
  <c r="I28" i="4"/>
  <c r="I27" i="4"/>
  <c r="I24" i="4"/>
  <c r="I26" i="4"/>
  <c r="I25" i="4"/>
  <c r="D38" i="4"/>
  <c r="D33" i="4"/>
  <c r="D19" i="4"/>
  <c r="D41" i="4"/>
  <c r="D17" i="4"/>
  <c r="D8" i="4"/>
  <c r="D27" i="4"/>
  <c r="D37" i="4"/>
  <c r="D26" i="4"/>
  <c r="D25" i="4"/>
  <c r="D35" i="4"/>
  <c r="D12" i="4"/>
  <c r="D34" i="4"/>
  <c r="D23" i="4"/>
  <c r="D11" i="4"/>
  <c r="D45" i="4"/>
  <c r="D22" i="4"/>
  <c r="D10" i="4"/>
  <c r="D44" i="4"/>
  <c r="D32" i="4"/>
  <c r="D31" i="4"/>
  <c r="D39" i="4"/>
  <c r="D16" i="4"/>
  <c r="D15" i="4"/>
  <c r="D14" i="4"/>
  <c r="D36" i="4"/>
  <c r="D13" i="4"/>
  <c r="D47" i="4"/>
  <c r="D24" i="4"/>
  <c r="D46" i="4"/>
  <c r="D21" i="4"/>
  <c r="D9" i="4"/>
  <c r="D43" i="4"/>
  <c r="D20" i="4"/>
  <c r="D42" i="4"/>
  <c r="D30" i="4"/>
  <c r="D29" i="4"/>
  <c r="D18" i="4"/>
  <c r="D40" i="4"/>
  <c r="D28" i="4"/>
  <c r="H7" i="4" l="1" a="1"/>
  <c r="H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6AE391-1A82-4A9E-8113-F94E1566CAC0}" keepAlive="1" name="Query - Europe Sales Records" description="Connection to the 'Europe Sales Records' query in the workbook." type="5" refreshedVersion="0" background="1">
    <dbPr connection="Provider=Microsoft.Mashup.OleDb.1;Data Source=$Workbook$;Location=&quot;Europe Sales Records&quot;;Extended Properties=&quot;&quot;" command="SELECT * FROM [Europe Sales Records]"/>
  </connection>
  <connection id="2" xr16:uid="{E3B648BF-E393-4166-B7E3-131AB1141B65}" keepAlive="1" name="Query - Europe Sales Records (2)" description="Connection to the 'Europe Sales Records (2)' query in the workbook." type="5" refreshedVersion="8" background="1" saveData="1">
    <dbPr connection="Provider=Microsoft.Mashup.OleDb.1;Data Source=$Workbook$;Location=&quot;Europe Sales Records (2)&quot;;Extended Properties=&quot;&quot;" command="SELECT * FROM [Europe Sales Record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<sst xmlns="http://schemas.openxmlformats.org/spreadsheetml/2006/main" count="2136" uniqueCount="471">
  <si>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</si>
  <si>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</si>
  <si>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</si>
  <si>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</si>
  <si>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</si>
  <si>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</si>
  <si>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</si>
  <si>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</si>
  <si>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</si>
  <si>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</si>
  <si>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</si>
  <si>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</si>
  <si>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</si>
  <si>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</si>
  <si>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Europe</t>
  </si>
  <si>
    <t>Czech Republic</t>
  </si>
  <si>
    <t>Beverages</t>
  </si>
  <si>
    <t>Offline</t>
  </si>
  <si>
    <t>C</t>
  </si>
  <si>
    <t>9/12/2011</t>
  </si>
  <si>
    <t>9/29/2011</t>
  </si>
  <si>
    <t>Bosnia and Herzegovina</t>
  </si>
  <si>
    <t>Clothes</t>
  </si>
  <si>
    <t>Online</t>
  </si>
  <si>
    <t>M</t>
  </si>
  <si>
    <t>10/14/2013</t>
  </si>
  <si>
    <t>11/4/2013</t>
  </si>
  <si>
    <t>Austria</t>
  </si>
  <si>
    <t>Cereal</t>
  </si>
  <si>
    <t>8/13/2014</t>
  </si>
  <si>
    <t>9/6/2014</t>
  </si>
  <si>
    <t>Bulgaria</t>
  </si>
  <si>
    <t>Office Supplies</t>
  </si>
  <si>
    <t>L</t>
  </si>
  <si>
    <t>10/31/2010</t>
  </si>
  <si>
    <t>11/29/2010</t>
  </si>
  <si>
    <t>Estonia</t>
  </si>
  <si>
    <t>Fruits</t>
  </si>
  <si>
    <t>9/28/2016</t>
  </si>
  <si>
    <t>11/1/2016</t>
  </si>
  <si>
    <t>Montenegro</t>
  </si>
  <si>
    <t>5/29/2016</t>
  </si>
  <si>
    <t>7/10/2016</t>
  </si>
  <si>
    <t>7/8/2011</t>
  </si>
  <si>
    <t>8/5/2011</t>
  </si>
  <si>
    <t>Luxembourg</t>
  </si>
  <si>
    <t>Vegetables</t>
  </si>
  <si>
    <t>2/13/2010</t>
  </si>
  <si>
    <t>4/1/2010</t>
  </si>
  <si>
    <t>Switzerland</t>
  </si>
  <si>
    <t>Meat</t>
  </si>
  <si>
    <t>3/21/2014</t>
  </si>
  <si>
    <t>4/10/2014</t>
  </si>
  <si>
    <t>Finland</t>
  </si>
  <si>
    <t>H</t>
  </si>
  <si>
    <t>3/16/2012</t>
  </si>
  <si>
    <t>3/23/2012</t>
  </si>
  <si>
    <t>Belgium</t>
  </si>
  <si>
    <t>Snacks</t>
  </si>
  <si>
    <t>1/12/2015</t>
  </si>
  <si>
    <t>1/17/2015</t>
  </si>
  <si>
    <t>San Marino</t>
  </si>
  <si>
    <t>4/13/2014</t>
  </si>
  <si>
    <t>5/4/2014</t>
  </si>
  <si>
    <t>Baby Food</t>
  </si>
  <si>
    <t>4/4/2015</t>
  </si>
  <si>
    <t>4/7/2015</t>
  </si>
  <si>
    <t>Netherlands</t>
  </si>
  <si>
    <t>3/8/2017</t>
  </si>
  <si>
    <t>4/3/2017</t>
  </si>
  <si>
    <t>Russia</t>
  </si>
  <si>
    <t>Household</t>
  </si>
  <si>
    <t>7/10/2017</t>
  </si>
  <si>
    <t>8/20/2017</t>
  </si>
  <si>
    <t>Ukraine</t>
  </si>
  <si>
    <t>Cosmetics</t>
  </si>
  <si>
    <t>1/22/2011</t>
  </si>
  <si>
    <t>1/28/2011</t>
  </si>
  <si>
    <t>7/24/2012</t>
  </si>
  <si>
    <t>9/1/2012</t>
  </si>
  <si>
    <t>Latvia</t>
  </si>
  <si>
    <t>12/15/2011</t>
  </si>
  <si>
    <t>12/18/2011</t>
  </si>
  <si>
    <t>Serbia</t>
  </si>
  <si>
    <t>9/3/2012</t>
  </si>
  <si>
    <t>9/21/2012</t>
  </si>
  <si>
    <t>Portugal</t>
  </si>
  <si>
    <t>1/21/2014</t>
  </si>
  <si>
    <t>3/4/2014</t>
  </si>
  <si>
    <t>Poland</t>
  </si>
  <si>
    <t>7/7/2017</t>
  </si>
  <si>
    <t>8/4/2017</t>
  </si>
  <si>
    <t>Liechtenstein</t>
  </si>
  <si>
    <t>7/15/2012</t>
  </si>
  <si>
    <t>United Kingdom</t>
  </si>
  <si>
    <t>4/8/2017</t>
  </si>
  <si>
    <t>4/12/2017</t>
  </si>
  <si>
    <t>Slovenia</t>
  </si>
  <si>
    <t>10/22/2012</t>
  </si>
  <si>
    <t>11/20/2012</t>
  </si>
  <si>
    <t>Malta</t>
  </si>
  <si>
    <t>3/11/2014</t>
  </si>
  <si>
    <t>Personal Care</t>
  </si>
  <si>
    <t>7/16/2010</t>
  </si>
  <si>
    <t>8/27/2010</t>
  </si>
  <si>
    <t>Cyprus</t>
  </si>
  <si>
    <t>7/12/2015</t>
  </si>
  <si>
    <t>8/30/2015</t>
  </si>
  <si>
    <t>11/27/2015</t>
  </si>
  <si>
    <t>12/29/2015</t>
  </si>
  <si>
    <t>Monaco</t>
  </si>
  <si>
    <t>6/8/2014</t>
  </si>
  <si>
    <t>7/4/2014</t>
  </si>
  <si>
    <t>5/23/2011</t>
  </si>
  <si>
    <t>5/29/2011</t>
  </si>
  <si>
    <t>Norway</t>
  </si>
  <si>
    <t>10/8/2014</t>
  </si>
  <si>
    <t>10/18/2014</t>
  </si>
  <si>
    <t>2/1/2011</t>
  </si>
  <si>
    <t>3/10/2011</t>
  </si>
  <si>
    <t>9/7/2010</t>
  </si>
  <si>
    <t>9/23/2010</t>
  </si>
  <si>
    <t>Armenia</t>
  </si>
  <si>
    <t>3/23/2011</t>
  </si>
  <si>
    <t>5/2/2011</t>
  </si>
  <si>
    <t>3/11/2017</t>
  </si>
  <si>
    <t>3/27/2017</t>
  </si>
  <si>
    <t>Denmark</t>
  </si>
  <si>
    <t>6/5/2016</t>
  </si>
  <si>
    <t>6/26/2016</t>
  </si>
  <si>
    <t>2/14/2013</t>
  </si>
  <si>
    <t>3/21/2013</t>
  </si>
  <si>
    <t>Kosovo</t>
  </si>
  <si>
    <t>5/2/2010</t>
  </si>
  <si>
    <t>6/6/2010</t>
  </si>
  <si>
    <t>Hungary</t>
  </si>
  <si>
    <t>1/25/2011</t>
  </si>
  <si>
    <t>3/13/2011</t>
  </si>
  <si>
    <t>Lithuania</t>
  </si>
  <si>
    <t>1/6/2012</t>
  </si>
  <si>
    <t>2/18/2012</t>
  </si>
  <si>
    <t>Albania</t>
  </si>
  <si>
    <t>10/5/2012</t>
  </si>
  <si>
    <t>11/3/2012</t>
  </si>
  <si>
    <t>7/2/2014</t>
  </si>
  <si>
    <t>7/19/2014</t>
  </si>
  <si>
    <t xml:space="preserve">Moldova </t>
  </si>
  <si>
    <t>3/11/2013</t>
  </si>
  <si>
    <t>4/12/2013</t>
  </si>
  <si>
    <t>11/1/2012</t>
  </si>
  <si>
    <t>11/13/2012</t>
  </si>
  <si>
    <t>9/30/2016</t>
  </si>
  <si>
    <t>10/9/2016</t>
  </si>
  <si>
    <t>8/3/2015</t>
  </si>
  <si>
    <t>9/8/2015</t>
  </si>
  <si>
    <t>4/30/2014</t>
  </si>
  <si>
    <t>5/30/2014</t>
  </si>
  <si>
    <t>12/18/2012</t>
  </si>
  <si>
    <t>12/21/2012</t>
  </si>
  <si>
    <t>7/20/2017</t>
  </si>
  <si>
    <t>12/15/2016</t>
  </si>
  <si>
    <t>1/11/2017</t>
  </si>
  <si>
    <t>8/21/2014</t>
  </si>
  <si>
    <t>France</t>
  </si>
  <si>
    <t>11/28/2015</t>
  </si>
  <si>
    <t>12/17/2015</t>
  </si>
  <si>
    <t>Spain</t>
  </si>
  <si>
    <t>10/22/2011</t>
  </si>
  <si>
    <t>11/14/2011</t>
  </si>
  <si>
    <t>Sweden</t>
  </si>
  <si>
    <t>9/20/2010</t>
  </si>
  <si>
    <t>10/25/2010</t>
  </si>
  <si>
    <t>3/15/2017</t>
  </si>
  <si>
    <t>4/9/2017</t>
  </si>
  <si>
    <t>6/8/2012</t>
  </si>
  <si>
    <t>6/17/2012</t>
  </si>
  <si>
    <t>9/8/2012</t>
  </si>
  <si>
    <t>9/16/2012</t>
  </si>
  <si>
    <t>8/16/2011</t>
  </si>
  <si>
    <t>8/11/2015</t>
  </si>
  <si>
    <t>9/19/2015</t>
  </si>
  <si>
    <t>Macedonia</t>
  </si>
  <si>
    <t>12/26/2010</t>
  </si>
  <si>
    <t>Greece</t>
  </si>
  <si>
    <t>12/8/2011</t>
  </si>
  <si>
    <t>Italy</t>
  </si>
  <si>
    <t>2/25/2011</t>
  </si>
  <si>
    <t>3/28/2011</t>
  </si>
  <si>
    <t>3/20/2010</t>
  </si>
  <si>
    <t>4/26/2010</t>
  </si>
  <si>
    <t>1/17/2014</t>
  </si>
  <si>
    <t>2/18/2014</t>
  </si>
  <si>
    <t>12/26/2011</t>
  </si>
  <si>
    <t>12/29/2011</t>
  </si>
  <si>
    <t>3/2/2012</t>
  </si>
  <si>
    <t>3/26/2012</t>
  </si>
  <si>
    <t>Germany</t>
  </si>
  <si>
    <t>1/6/2017</t>
  </si>
  <si>
    <t>2/15/2017</t>
  </si>
  <si>
    <t>5/20/2014</t>
  </si>
  <si>
    <t>6/21/2014</t>
  </si>
  <si>
    <t>5/5/2012</t>
  </si>
  <si>
    <t>6/2/2012</t>
  </si>
  <si>
    <t>1/5/2013</t>
  </si>
  <si>
    <t>1/6/2013</t>
  </si>
  <si>
    <t>4/24/2015</t>
  </si>
  <si>
    <t>5/5/2015</t>
  </si>
  <si>
    <t>12/2/2010</t>
  </si>
  <si>
    <t>12/7/2010</t>
  </si>
  <si>
    <t>12/15/2013</t>
  </si>
  <si>
    <t>1/5/2014</t>
  </si>
  <si>
    <t>8/18/2014</t>
  </si>
  <si>
    <t>1/31/2013</t>
  </si>
  <si>
    <t>3/13/2013</t>
  </si>
  <si>
    <t>7/3/2017</t>
  </si>
  <si>
    <t>7/31/2017</t>
  </si>
  <si>
    <t>3/3/2017</t>
  </si>
  <si>
    <t>3/22/2017</t>
  </si>
  <si>
    <t>12/4/2010</t>
  </si>
  <si>
    <t>12/8/2010</t>
  </si>
  <si>
    <t>Andorra</t>
  </si>
  <si>
    <t>3/19/2010</t>
  </si>
  <si>
    <t>3/26/2010</t>
  </si>
  <si>
    <t>Iceland</t>
  </si>
  <si>
    <t>4/5/2012</t>
  </si>
  <si>
    <t>5/16/2012</t>
  </si>
  <si>
    <t>4/5/2014</t>
  </si>
  <si>
    <t>4/25/2014</t>
  </si>
  <si>
    <t>9/28/2012</t>
  </si>
  <si>
    <t>10/21/2012</t>
  </si>
  <si>
    <t>1/8/2014</t>
  </si>
  <si>
    <t>2/2/2014</t>
  </si>
  <si>
    <t>Croatia</t>
  </si>
  <si>
    <t>2/22/2013</t>
  </si>
  <si>
    <t>4/30/2013</t>
  </si>
  <si>
    <t>5/22/2013</t>
  </si>
  <si>
    <t>6/26/2010</t>
  </si>
  <si>
    <t>7/18/2010</t>
  </si>
  <si>
    <t>2/7/2010</t>
  </si>
  <si>
    <t>3/18/2010</t>
  </si>
  <si>
    <t>12/3/2010</t>
  </si>
  <si>
    <t>1/4/2011</t>
  </si>
  <si>
    <t>10/19/2012</t>
  </si>
  <si>
    <t>Slovakia</t>
  </si>
  <si>
    <t>2/20/2010</t>
  </si>
  <si>
    <t>4/11/2010</t>
  </si>
  <si>
    <t>7/18/2015</t>
  </si>
  <si>
    <t>8/1/2015</t>
  </si>
  <si>
    <t>11/8/2012</t>
  </si>
  <si>
    <t>11/24/2012</t>
  </si>
  <si>
    <t>2/17/2011</t>
  </si>
  <si>
    <t>3/29/2016</t>
  </si>
  <si>
    <t>5/8/2016</t>
  </si>
  <si>
    <t>1/20/2016</t>
  </si>
  <si>
    <t>1/28/2016</t>
  </si>
  <si>
    <t>2/19/2010</t>
  </si>
  <si>
    <t>3/2/2010</t>
  </si>
  <si>
    <t>Vatican City</t>
  </si>
  <si>
    <t>12/27/2015</t>
  </si>
  <si>
    <t>1/19/2016</t>
  </si>
  <si>
    <t>9/29/2013</t>
  </si>
  <si>
    <t>10/1/2013</t>
  </si>
  <si>
    <t>2/9/2017</t>
  </si>
  <si>
    <t>2/21/2017</t>
  </si>
  <si>
    <t>Belarus</t>
  </si>
  <si>
    <t>12/31/2012</t>
  </si>
  <si>
    <t>1/11/2013</t>
  </si>
  <si>
    <t>12/14/2010</t>
  </si>
  <si>
    <t>1/1/2011</t>
  </si>
  <si>
    <t>11/9/2011</t>
  </si>
  <si>
    <t>11/26/2011</t>
  </si>
  <si>
    <t>Ireland</t>
  </si>
  <si>
    <t>11/16/2010</t>
  </si>
  <si>
    <t>12/11/2010</t>
  </si>
  <si>
    <t>8/19/2012</t>
  </si>
  <si>
    <t>8/22/2012</t>
  </si>
  <si>
    <t>6/20/2013</t>
  </si>
  <si>
    <t>7/21/2013</t>
  </si>
  <si>
    <t>9/19/2013</t>
  </si>
  <si>
    <t>9/25/2013</t>
  </si>
  <si>
    <t>4/3/2013</t>
  </si>
  <si>
    <t>5/9/2013</t>
  </si>
  <si>
    <t>3/20/2014</t>
  </si>
  <si>
    <t>7/8/2012</t>
  </si>
  <si>
    <t>8/1/2012</t>
  </si>
  <si>
    <t>9/19/2012</t>
  </si>
  <si>
    <t>10/20/2012</t>
  </si>
  <si>
    <t>2/19/2014</t>
  </si>
  <si>
    <t>2/27/2014</t>
  </si>
  <si>
    <t>7/31/2012</t>
  </si>
  <si>
    <t>6/30/2017</t>
  </si>
  <si>
    <t>7/24/2017</t>
  </si>
  <si>
    <t>9/5/2016</t>
  </si>
  <si>
    <t>9/22/2016</t>
  </si>
  <si>
    <t>10/16/2011</t>
  </si>
  <si>
    <t>11/7/2011</t>
  </si>
  <si>
    <t>2/5/2013</t>
  </si>
  <si>
    <t>3/4/2013</t>
  </si>
  <si>
    <t>7/3/2015</t>
  </si>
  <si>
    <t>7/16/2015</t>
  </si>
  <si>
    <t>4/16/2015</t>
  </si>
  <si>
    <t>8/18/2013</t>
  </si>
  <si>
    <t>9/1/2013</t>
  </si>
  <si>
    <t>1/23/2010</t>
  </si>
  <si>
    <t>2/5/2010</t>
  </si>
  <si>
    <t>12/7/2016</t>
  </si>
  <si>
    <t>1/1/2017</t>
  </si>
  <si>
    <t>4/26/2013</t>
  </si>
  <si>
    <t>6/1/2013</t>
  </si>
  <si>
    <t>10/24/2012</t>
  </si>
  <si>
    <t>11/4/2012</t>
  </si>
  <si>
    <t>5/30/2010</t>
  </si>
  <si>
    <t>6/8/2010</t>
  </si>
  <si>
    <t>11/29/2011</t>
  </si>
  <si>
    <t>12/17/2011</t>
  </si>
  <si>
    <t>3/28/2016</t>
  </si>
  <si>
    <t>5/4/2016</t>
  </si>
  <si>
    <t>7/25/2011</t>
  </si>
  <si>
    <t>4/10/2010</t>
  </si>
  <si>
    <t>5/20/2010</t>
  </si>
  <si>
    <t>8/6/2011</t>
  </si>
  <si>
    <t>9/6/2011</t>
  </si>
  <si>
    <t>2/18/2017</t>
  </si>
  <si>
    <t>3/10/2017</t>
  </si>
  <si>
    <t>6/29/2016</t>
  </si>
  <si>
    <t>7/2/2016</t>
  </si>
  <si>
    <t>9/18/2011</t>
  </si>
  <si>
    <t>10/19/2011</t>
  </si>
  <si>
    <t>6/30/2012</t>
  </si>
  <si>
    <t>7/19/2012</t>
  </si>
  <si>
    <t>3/22/2014</t>
  </si>
  <si>
    <t>5/10/2014</t>
  </si>
  <si>
    <t>1/7/2014</t>
  </si>
  <si>
    <t>2/10/2014</t>
  </si>
  <si>
    <t>10/12/2010</t>
  </si>
  <si>
    <t>12/1/2010</t>
  </si>
  <si>
    <t>3/1/2012</t>
  </si>
  <si>
    <t>3/22/2012</t>
  </si>
  <si>
    <t>6/25/2012</t>
  </si>
  <si>
    <t>8/13/2012</t>
  </si>
  <si>
    <t>8/22/2011</t>
  </si>
  <si>
    <t>9/20/2011</t>
  </si>
  <si>
    <t>Romania</t>
  </si>
  <si>
    <t>9/15/2014</t>
  </si>
  <si>
    <t>10/10/2011</t>
  </si>
  <si>
    <t>11/21/2011</t>
  </si>
  <si>
    <t>3/31/2013</t>
  </si>
  <si>
    <t>4/5/2013</t>
  </si>
  <si>
    <t>2/8/2016</t>
  </si>
  <si>
    <t>2/16/2016</t>
  </si>
  <si>
    <t>12/9/2014</t>
  </si>
  <si>
    <t>1/2/2015</t>
  </si>
  <si>
    <t>2/4/2016</t>
  </si>
  <si>
    <t>3/7/2016</t>
  </si>
  <si>
    <t>12/21/2011</t>
  </si>
  <si>
    <t>2/1/2012</t>
  </si>
  <si>
    <t>2/2/2012</t>
  </si>
  <si>
    <t>9/10/2013</t>
  </si>
  <si>
    <t>10/7/2013</t>
  </si>
  <si>
    <t>6/27/2011</t>
  </si>
  <si>
    <t>8/12/2011</t>
  </si>
  <si>
    <t>4/20/2011</t>
  </si>
  <si>
    <t>5/28/2011</t>
  </si>
  <si>
    <t>1/9/2012</t>
  </si>
  <si>
    <t>Georgia</t>
  </si>
  <si>
    <t>1/26/2014</t>
  </si>
  <si>
    <t>3/8/2014</t>
  </si>
  <si>
    <t>5/14/2013</t>
  </si>
  <si>
    <t>3/21/2012</t>
  </si>
  <si>
    <t>3/27/2012</t>
  </si>
  <si>
    <t>8/27/2016</t>
  </si>
  <si>
    <t>9/6/2016</t>
  </si>
  <si>
    <t>6/9/2014</t>
  </si>
  <si>
    <t>6/11/2014</t>
  </si>
  <si>
    <t>11/7/2013</t>
  </si>
  <si>
    <t>11/23/2013</t>
  </si>
  <si>
    <t>4/2/2012</t>
  </si>
  <si>
    <t>5/1/2012</t>
  </si>
  <si>
    <t>6/3/2017</t>
  </si>
  <si>
    <t>7/21/2017</t>
  </si>
  <si>
    <t>12/20/2011</t>
  </si>
  <si>
    <t>1/8/2012</t>
  </si>
  <si>
    <t>5/23/2017</t>
  </si>
  <si>
    <t>5/30/2017</t>
  </si>
  <si>
    <t>5/7/2012</t>
  </si>
  <si>
    <t>5/19/2012</t>
  </si>
  <si>
    <t>6/24/2015</t>
  </si>
  <si>
    <t>7/28/2015</t>
  </si>
  <si>
    <t>1/25/2016</t>
  </si>
  <si>
    <t>3/3/2016</t>
  </si>
  <si>
    <t>7/22/2012</t>
  </si>
  <si>
    <t>8/6/2012</t>
  </si>
  <si>
    <t>7/11/2012</t>
  </si>
  <si>
    <t>7/27/2014</t>
  </si>
  <si>
    <t>7/29/2014</t>
  </si>
  <si>
    <t>2/6/2017</t>
  </si>
  <si>
    <t>2/10/2017</t>
  </si>
  <si>
    <t>1/9/2014</t>
  </si>
  <si>
    <t>1/28/2014</t>
  </si>
  <si>
    <t>9/10/2014</t>
  </si>
  <si>
    <t>9/17/2014</t>
  </si>
  <si>
    <t>6/25/2011</t>
  </si>
  <si>
    <t>8/4/2011</t>
  </si>
  <si>
    <t>4/16/2017</t>
  </si>
  <si>
    <t>5/14/2017</t>
  </si>
  <si>
    <t>5/10/2016</t>
  </si>
  <si>
    <t>5/11/2016</t>
  </si>
  <si>
    <t>1/9/2013</t>
  </si>
  <si>
    <t>2/9/2013</t>
  </si>
  <si>
    <t>2/11/2013</t>
  </si>
  <si>
    <t>3/28/2013</t>
  </si>
  <si>
    <t>7/14/2017</t>
  </si>
  <si>
    <t>7/16/2017</t>
  </si>
  <si>
    <t>1/16/2016</t>
  </si>
  <si>
    <t>2/23/2016</t>
  </si>
  <si>
    <t>10/30/2012</t>
  </si>
  <si>
    <t>11/18/2012</t>
  </si>
  <si>
    <t>7/13/2013</t>
  </si>
  <si>
    <t>8/3/2013</t>
  </si>
  <si>
    <t>8/16/2016</t>
  </si>
  <si>
    <t>9/9/2016</t>
  </si>
  <si>
    <t>2/8/2014</t>
  </si>
  <si>
    <t>6/27/2014</t>
  </si>
  <si>
    <t>7/28/2014</t>
  </si>
  <si>
    <t>12/6/2011</t>
  </si>
  <si>
    <t>1/7/2012</t>
  </si>
  <si>
    <t>2/21/2015</t>
  </si>
  <si>
    <t>7/26/2015</t>
  </si>
  <si>
    <t>8/4/2015</t>
  </si>
  <si>
    <t>12/12/2014</t>
  </si>
  <si>
    <t>12/19/2014</t>
  </si>
  <si>
    <t>3/16/2015</t>
  </si>
  <si>
    <t>3/26/2015</t>
  </si>
  <si>
    <t>3/10/2016</t>
  </si>
  <si>
    <t>4/8/2016</t>
  </si>
  <si>
    <t>5/26/2012</t>
  </si>
  <si>
    <t>5/28/2012</t>
  </si>
  <si>
    <t>7/27/2016</t>
  </si>
  <si>
    <t>9/11/2016</t>
  </si>
  <si>
    <t>10/6/2010</t>
  </si>
  <si>
    <t>11/22/2010</t>
  </si>
  <si>
    <t>8/8/2013</t>
  </si>
  <si>
    <t>8/29/2013</t>
  </si>
  <si>
    <t>10/19/2013</t>
  </si>
  <si>
    <t>12/6/2013</t>
  </si>
  <si>
    <t>2/17/2016</t>
  </si>
  <si>
    <t>3/22/2016</t>
  </si>
  <si>
    <t>1/3/2017</t>
  </si>
  <si>
    <t>1/8/2017</t>
  </si>
  <si>
    <t>8/7/2015</t>
  </si>
  <si>
    <t>9/3/2015</t>
  </si>
  <si>
    <t>12/22/2012</t>
  </si>
  <si>
    <t>1/17/2013</t>
  </si>
  <si>
    <t>11/27/2013</t>
  </si>
  <si>
    <t>12/11/2013</t>
  </si>
  <si>
    <t>High</t>
  </si>
  <si>
    <t>Low</t>
  </si>
  <si>
    <t>Medium</t>
  </si>
  <si>
    <t>Critical</t>
  </si>
  <si>
    <t>Product Type</t>
  </si>
  <si>
    <t>Clean Product Type</t>
  </si>
  <si>
    <t>Top 10 Countries by Revenue</t>
  </si>
  <si>
    <t>Country Revenue Summary</t>
  </si>
  <si>
    <t>Total Profit by Product</t>
  </si>
  <si>
    <t>Orders by Product and Priority</t>
  </si>
  <si>
    <t>Order by Products and Sales Channel</t>
  </si>
  <si>
    <t>Product</t>
  </si>
  <si>
    <t>#</t>
  </si>
  <si>
    <t>Revenue</t>
  </si>
  <si>
    <t>Profit</t>
  </si>
  <si>
    <t>Sales Analysis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</si>
</sst>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-809]#,##0.00"/>
    <numFmt numFmtId="165" formatCode="[$£-452]#,##0.00"/>
    <numFmt numFmtId="166" formatCode="[$£-452]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8" xfId="0" applyNumberFormat="1" applyBorder="1"/>
    <xf numFmtId="165" fontId="0" fillId="0" borderId="10" xfId="0" applyNumberFormat="1" applyBorder="1"/>
    <xf numFmtId="165" fontId="0" fillId="0" borderId="12" xfId="0" applyNumberFormat="1" applyBorder="1"/>
    <xf numFmtId="0" fontId="0" fillId="0" borderId="14" xfId="0" applyBorder="1"/>
    <xf numFmtId="0" fontId="0" fillId="0" borderId="8" xfId="0" applyBorder="1"/>
    <xf numFmtId="0" fontId="0" fillId="0" borderId="0" xfId="0" applyBorder="1"/>
    <xf numFmtId="0" fontId="0" fillId="0" borderId="10" xfId="0" applyBorder="1"/>
    <xf numFmtId="0" fontId="0" fillId="0" borderId="15" xfId="0" applyBorder="1"/>
    <xf numFmtId="0" fontId="0" fillId="0" borderId="12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8" xfId="0" applyNumberFormat="1" applyBorder="1"/>
    <xf numFmtId="166" fontId="0" fillId="0" borderId="10" xfId="0" applyNumberFormat="1" applyBorder="1"/>
    <xf numFmtId="166" fontId="0" fillId="0" borderId="12" xfId="0" applyNumberFormat="1" applyBorder="1"/>
    <xf numFmtId="0" fontId="2" fillId="0" borderId="16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 applyAlignment="1">
      <alignment horizontal="center"/>
    </xf>
    <xf numFmtId="0" fontId="2" fillId="0" borderId="13" xfId="0" applyFont="1" applyBorder="1"/>
    <xf numFmtId="0" fontId="2" fillId="0" borderId="4" xfId="0" applyFont="1" applyBorder="1"/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0" fillId="3" borderId="5" xfId="0" applyFill="1" applyBorder="1"/>
    <xf numFmtId="0" fontId="0" fillId="3" borderId="13" xfId="0" applyFill="1" applyBorder="1"/>
    <xf numFmtId="0" fontId="0" fillId="3" borderId="6" xfId="0" applyFill="1" applyBorder="1"/>
    <xf numFmtId="3" fontId="0" fillId="0" borderId="0" xfId="0" applyNumberFormat="1" applyAlignment="1">
      <alignment horizontal="left"/>
    </xf>
  </cellXfs>
  <cellStyles count="1">
    <cellStyle name="Normal" xfId="0" builtinId="0"/>
  </cellStyles>
  <dxfs count="18">
    <dxf>
      <numFmt numFmtId="3" formatCode="#,##0"/>
      <alignment horizontal="left" vertical="bottom" textRotation="0" wrapText="0" indent="0" justifyLastLine="0" shrinkToFit="0" readingOrder="0"/>
    </dxf>
    <dxf>
      <fill>
        <patternFill>
          <bgColor theme="5" tint="0.59996337778862885"/>
        </patternFill>
      </fill>
    </dxf>
    <dxf>
      <numFmt numFmtId="164" formatCode="[$£-809]#,##0.00"/>
      <alignment horizontal="left" vertical="bottom" textRotation="0" wrapText="0" indent="0" justifyLastLine="0" shrinkToFit="0" readingOrder="0"/>
    </dxf>
    <dxf>
      <numFmt numFmtId="164" formatCode="[$£-809]#,##0.00"/>
      <alignment horizontal="left" vertical="bottom" textRotation="0" wrapText="0" indent="0" justifyLastLine="0" shrinkToFit="0" readingOrder="0"/>
    </dxf>
    <dxf>
      <numFmt numFmtId="164" formatCode="[$£-809]#,##0.00"/>
      <alignment horizontal="left" vertical="bottom" textRotation="0" wrapText="0" indent="0" justifyLastLine="0" shrinkToFit="0" readingOrder="0"/>
    </dxf>
    <dxf>
      <numFmt numFmtId="164" formatCode="[$£-809]#,##0.00"/>
      <alignment horizontal="left" vertical="bottom" textRotation="0" wrapText="0" indent="0" justifyLastLine="0" shrinkToFit="0" readingOrder="0"/>
    </dxf>
    <dxf>
      <numFmt numFmtId="164" formatCode="[$£-809]#,##0.00"/>
      <alignment horizontal="left" vertical="bottom" textRotation="0" wrapText="0" indent="0" justifyLastLine="0" shrinkToFit="0" readingOrder="0"/>
    </dxf>
    <dxf>
      <numFmt numFmtId="164" formatCode="[$£-809]#,##0.0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D8D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F554C9-31A4-48A9-9ABD-45D52DB770F6}" autoFormatId="16" applyNumberFormats="0" applyBorderFormats="0" applyFontFormats="0" applyPatternFormats="0" applyAlignmentFormats="0" applyWidthHeightFormats="0">
  <queryTableRefresh nextId="20" unboundColumnsRight="1">
    <queryTableFields count="15">
      <queryTableField id="7" name="Order ID" tableColumnId="7"/>
      <queryTableField id="6" name="Order Date" tableColumnId="6"/>
      <queryTableField id="8" name="Ship Date" tableColumnId="8"/>
      <queryTableField id="1" name="Region" tableColumnId="1"/>
      <queryTableField id="2" name="Country" tableColumnId="2"/>
      <queryTableField id="3" name="Item Type" tableColumnId="3"/>
      <queryTableField id="4" name="Sales Channel" tableColumnId="4"/>
      <queryTableField id="5" name="Order Priority" tableColumnId="5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  <queryTableField id="19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509EDD-60D6-4CD8-A0F7-B04AFA9129D2}" name="Europe_Sales_Records__2" displayName="Europe_Sales_Records__2" ref="A1:O100" tableType="queryTable" totalsRowShown="0" headerRowDxfId="17" dataDxfId="16">
  <autoFilter ref="A1:O100" xr:uid="{4D509EDD-60D6-4CD8-A0F7-B04AFA9129D2}"/>
  <tableColumns count="15">
    <tableColumn id="7" xr3:uid="{ADF5045A-4926-4052-8FB3-6AECD52C5911}" uniqueName="7" name="Order ID" queryTableFieldId="7" dataDxfId="15"/>
    <tableColumn id="6" xr3:uid="{434186D0-69E1-482D-8CEA-488240FDC7E4}" uniqueName="6" name="Order Date" queryTableFieldId="6" dataDxfId="14"/>
    <tableColumn id="8" xr3:uid="{5718A36A-7251-491E-969A-2345C05FB5D9}" uniqueName="8" name="Ship Date" queryTableFieldId="8" dataDxfId="13"/>
    <tableColumn id="1" xr3:uid="{47F5170E-2AA7-46C6-A8ED-A31DF0528DFA}" uniqueName="1" name="Region" queryTableFieldId="1" dataDxfId="12"/>
    <tableColumn id="2" xr3:uid="{18F27AB0-6F4D-4DE4-B3C9-608A1CD5F0E7}" uniqueName="2" name="Country" queryTableFieldId="2" dataDxfId="11"/>
    <tableColumn id="3" xr3:uid="{650B95A1-9BB2-48EB-ABCB-5E19E44EB9B4}" uniqueName="3" name="Product Type" queryTableFieldId="3" dataDxfId="10"/>
    <tableColumn id="4" xr3:uid="{BD0E6032-DB1A-4450-9218-11787108C3CD}" uniqueName="4" name="Sales Channel" queryTableFieldId="4" dataDxfId="9"/>
    <tableColumn id="5" xr3:uid="{E590EBD4-E2C5-4CEF-82CE-18689FC0C9E1}" uniqueName="5" name="Order Priority" queryTableFieldId="5" dataDxfId="8"/>
    <tableColumn id="9" xr3:uid="{FA3D1EB5-A4EE-494B-9204-41C7DE11043C}" uniqueName="9" name="Units Sold" queryTableFieldId="9" dataDxfId="0"/>
    <tableColumn id="10" xr3:uid="{B7444925-84DF-4437-B4B2-DE0E7921618A}" uniqueName="10" name="Unit Price" queryTableFieldId="10" dataDxfId="7"/>
    <tableColumn id="11" xr3:uid="{952FDF53-A939-415B-98D0-BED5BB898313}" uniqueName="11" name="Unit Cost" queryTableFieldId="11" dataDxfId="6"/>
    <tableColumn id="12" xr3:uid="{3CF3E921-B0C0-4697-8154-F139FEA81900}" uniqueName="12" name="Total Revenue" queryTableFieldId="12" dataDxfId="5"/>
    <tableColumn id="13" xr3:uid="{2B0B68A1-0463-405E-855D-A5D8FADB6E46}" uniqueName="13" name="Total Cost" queryTableFieldId="13" dataDxfId="4"/>
    <tableColumn id="14" xr3:uid="{DBEFEACF-9553-493F-B07A-2D0BF92A62AA}" uniqueName="14" name="Total Profit" queryTableFieldId="14" dataDxfId="3"/>
    <tableColumn id="18" xr3:uid="{7D8AA216-120C-4773-AB30-D20805C3512B}" uniqueName="18" name="Clean Product Type" queryTableFieldId="19" dataDxfId="2">
      <calculatedColumnFormula>TRIM(Europe_Sales_Records__2[[#This Row],[Product Type]])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8F62-022B-4719-88EE-AC586C99844A}">
  <dimension ref="A1:N200"/>
  <sheetViews>
    <sheetView workbookViewId="0">
      <selection activeCell="G15" sqref="G15"/>
    </sheetView>
  </sheetViews>
  <sheetFormatPr defaultRowHeight="14.4" x14ac:dyDescent="0.3"/>
  <cols>
    <col min="1" max="1" width="9" bestFit="1" customWidth="1"/>
    <col min="2" max="2" width="20.5546875" bestFit="1" customWidth="1"/>
    <col min="3" max="3" width="13.109375" bestFit="1" customWidth="1"/>
    <col min="4" max="4" width="14.77734375" bestFit="1" customWidth="1"/>
    <col min="5" max="5" width="14.5546875" bestFit="1" customWidth="1"/>
    <col min="6" max="6" width="12.33203125" bestFit="1" customWidth="1"/>
    <col min="7" max="7" width="10.21875" bestFit="1" customWidth="1"/>
    <col min="8" max="8" width="11.21875" bestFit="1" customWidth="1"/>
    <col min="9" max="9" width="11.6640625" bestFit="1" customWidth="1"/>
    <col min="10" max="10" width="11.33203125" bestFit="1" customWidth="1"/>
    <col min="11" max="11" width="10.88671875" bestFit="1" customWidth="1"/>
    <col min="12" max="12" width="15.33203125" bestFit="1" customWidth="1"/>
    <col min="13" max="13" width="11.5546875" bestFit="1" customWidth="1"/>
    <col min="14" max="14" width="12.5546875" bestFit="1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478051030</v>
      </c>
      <c r="H2" t="s">
        <v>20</v>
      </c>
      <c r="I2">
        <v>4778</v>
      </c>
      <c r="J2">
        <v>47.45</v>
      </c>
      <c r="K2">
        <v>31.79</v>
      </c>
      <c r="L2">
        <v>226716.1</v>
      </c>
      <c r="M2">
        <v>151892.62</v>
      </c>
      <c r="N2">
        <v>74823.48</v>
      </c>
    </row>
    <row r="3" spans="1:14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919133651</v>
      </c>
      <c r="H3" t="s">
        <v>26</v>
      </c>
      <c r="I3">
        <v>927</v>
      </c>
      <c r="J3">
        <v>109.28</v>
      </c>
      <c r="K3">
        <v>35.840000000000003</v>
      </c>
      <c r="L3">
        <v>101302.56</v>
      </c>
      <c r="M3">
        <v>33223.68</v>
      </c>
      <c r="N3">
        <v>68078.880000000005</v>
      </c>
    </row>
    <row r="4" spans="1:14" x14ac:dyDescent="0.3">
      <c r="A4" t="s">
        <v>14</v>
      </c>
      <c r="B4" t="s">
        <v>27</v>
      </c>
      <c r="C4" t="s">
        <v>28</v>
      </c>
      <c r="D4" t="s">
        <v>17</v>
      </c>
      <c r="E4" t="s">
        <v>18</v>
      </c>
      <c r="F4" t="s">
        <v>29</v>
      </c>
      <c r="G4">
        <v>987410676</v>
      </c>
      <c r="H4" t="s">
        <v>30</v>
      </c>
      <c r="I4">
        <v>5616</v>
      </c>
      <c r="J4">
        <v>205.7</v>
      </c>
      <c r="K4">
        <v>117.11</v>
      </c>
      <c r="L4">
        <v>1155211.2</v>
      </c>
      <c r="M4">
        <v>657689.76</v>
      </c>
      <c r="N4">
        <v>497521.44</v>
      </c>
    </row>
    <row r="5" spans="1:14" x14ac:dyDescent="0.3">
      <c r="A5" t="s">
        <v>14</v>
      </c>
      <c r="B5" t="s">
        <v>31</v>
      </c>
      <c r="C5" t="s">
        <v>32</v>
      </c>
      <c r="D5" t="s">
        <v>23</v>
      </c>
      <c r="E5" t="s">
        <v>33</v>
      </c>
      <c r="F5" t="s">
        <v>34</v>
      </c>
      <c r="G5">
        <v>672330081</v>
      </c>
      <c r="H5" t="s">
        <v>35</v>
      </c>
      <c r="I5">
        <v>6266</v>
      </c>
      <c r="J5">
        <v>651.21</v>
      </c>
      <c r="K5">
        <v>524.96</v>
      </c>
      <c r="L5">
        <v>4080481.86</v>
      </c>
      <c r="M5">
        <v>3289399.36</v>
      </c>
      <c r="N5">
        <v>791082.5</v>
      </c>
    </row>
    <row r="6" spans="1:14" x14ac:dyDescent="0.3">
      <c r="A6" t="s">
        <v>14</v>
      </c>
      <c r="B6" t="s">
        <v>36</v>
      </c>
      <c r="C6" t="s">
        <v>37</v>
      </c>
      <c r="D6" t="s">
        <v>23</v>
      </c>
      <c r="E6" t="s">
        <v>33</v>
      </c>
      <c r="F6" t="s">
        <v>38</v>
      </c>
      <c r="G6">
        <v>579463422</v>
      </c>
      <c r="H6" t="s">
        <v>39</v>
      </c>
      <c r="I6">
        <v>4958</v>
      </c>
      <c r="J6">
        <v>9.33</v>
      </c>
      <c r="K6">
        <v>6.92</v>
      </c>
      <c r="L6">
        <v>46258.14</v>
      </c>
      <c r="M6">
        <v>34309.360000000001</v>
      </c>
      <c r="N6">
        <v>11948.78</v>
      </c>
    </row>
    <row r="7" spans="1:14" x14ac:dyDescent="0.3">
      <c r="A7" t="s">
        <v>14</v>
      </c>
      <c r="B7" t="s">
        <v>40</v>
      </c>
      <c r="C7" t="s">
        <v>37</v>
      </c>
      <c r="D7" t="s">
        <v>17</v>
      </c>
      <c r="E7" t="s">
        <v>33</v>
      </c>
      <c r="F7" t="s">
        <v>41</v>
      </c>
      <c r="G7">
        <v>313705861</v>
      </c>
      <c r="H7" t="s">
        <v>42</v>
      </c>
      <c r="I7">
        <v>1390</v>
      </c>
      <c r="J7">
        <v>9.33</v>
      </c>
      <c r="K7">
        <v>6.92</v>
      </c>
      <c r="L7">
        <v>12968.7</v>
      </c>
      <c r="M7">
        <v>9618.7999999999993</v>
      </c>
      <c r="N7">
        <v>3349.9</v>
      </c>
    </row>
    <row r="8" spans="1:14" x14ac:dyDescent="0.3">
      <c r="A8" t="s">
        <v>14</v>
      </c>
      <c r="B8" t="s">
        <v>15</v>
      </c>
      <c r="C8" t="s">
        <v>28</v>
      </c>
      <c r="D8" t="s">
        <v>23</v>
      </c>
      <c r="E8" t="s">
        <v>24</v>
      </c>
      <c r="F8" t="s">
        <v>43</v>
      </c>
      <c r="G8">
        <v>552037513</v>
      </c>
      <c r="H8" t="s">
        <v>44</v>
      </c>
      <c r="I8">
        <v>9022</v>
      </c>
      <c r="J8">
        <v>205.7</v>
      </c>
      <c r="K8">
        <v>117.11</v>
      </c>
      <c r="L8">
        <v>1855825.4</v>
      </c>
      <c r="M8">
        <v>1056566.42</v>
      </c>
      <c r="N8">
        <v>799258.98</v>
      </c>
    </row>
    <row r="9" spans="1:14" x14ac:dyDescent="0.3">
      <c r="A9" t="s">
        <v>14</v>
      </c>
      <c r="B9" t="s">
        <v>45</v>
      </c>
      <c r="C9" t="s">
        <v>46</v>
      </c>
      <c r="D9" t="s">
        <v>17</v>
      </c>
      <c r="E9" t="s">
        <v>33</v>
      </c>
      <c r="F9" t="s">
        <v>47</v>
      </c>
      <c r="G9">
        <v>744683635</v>
      </c>
      <c r="H9" t="s">
        <v>48</v>
      </c>
      <c r="I9">
        <v>7291</v>
      </c>
      <c r="J9">
        <v>154.06</v>
      </c>
      <c r="K9">
        <v>90.93</v>
      </c>
      <c r="L9">
        <v>1123251.46</v>
      </c>
      <c r="M9">
        <v>662970.63</v>
      </c>
      <c r="N9">
        <v>460280.83</v>
      </c>
    </row>
    <row r="10" spans="1:14" x14ac:dyDescent="0.3">
      <c r="A10" t="s">
        <v>14</v>
      </c>
      <c r="B10" t="s">
        <v>49</v>
      </c>
      <c r="C10" t="s">
        <v>50</v>
      </c>
      <c r="D10" t="s">
        <v>23</v>
      </c>
      <c r="E10" t="s">
        <v>33</v>
      </c>
      <c r="F10" t="s">
        <v>51</v>
      </c>
      <c r="G10">
        <v>169378983</v>
      </c>
      <c r="H10" t="s">
        <v>52</v>
      </c>
      <c r="I10">
        <v>1860</v>
      </c>
      <c r="J10">
        <v>421.89</v>
      </c>
      <c r="K10">
        <v>364.69</v>
      </c>
      <c r="L10">
        <v>784715.4</v>
      </c>
      <c r="M10">
        <v>678323.4</v>
      </c>
      <c r="N10">
        <v>106392</v>
      </c>
    </row>
    <row r="11" spans="1:14" x14ac:dyDescent="0.3">
      <c r="A11" t="s">
        <v>14</v>
      </c>
      <c r="B11" t="s">
        <v>53</v>
      </c>
      <c r="C11" t="s">
        <v>16</v>
      </c>
      <c r="D11" t="s">
        <v>23</v>
      </c>
      <c r="E11" t="s">
        <v>54</v>
      </c>
      <c r="F11" t="s">
        <v>55</v>
      </c>
      <c r="G11">
        <v>566428315</v>
      </c>
      <c r="H11" t="s">
        <v>56</v>
      </c>
      <c r="I11">
        <v>7581</v>
      </c>
      <c r="J11">
        <v>47.45</v>
      </c>
      <c r="K11">
        <v>31.79</v>
      </c>
      <c r="L11">
        <v>359718.45</v>
      </c>
      <c r="M11">
        <v>240999.99</v>
      </c>
      <c r="N11">
        <v>118718.46</v>
      </c>
    </row>
    <row r="12" spans="1:14" x14ac:dyDescent="0.3">
      <c r="A12" t="s">
        <v>14</v>
      </c>
      <c r="B12" t="s">
        <v>57</v>
      </c>
      <c r="C12" t="s">
        <v>58</v>
      </c>
      <c r="D12" t="s">
        <v>23</v>
      </c>
      <c r="E12" t="s">
        <v>24</v>
      </c>
      <c r="F12" t="s">
        <v>59</v>
      </c>
      <c r="G12">
        <v>519380223</v>
      </c>
      <c r="H12" t="s">
        <v>60</v>
      </c>
      <c r="I12">
        <v>5005</v>
      </c>
      <c r="J12">
        <v>152.58000000000001</v>
      </c>
      <c r="K12">
        <v>97.44</v>
      </c>
      <c r="L12">
        <v>763662.9</v>
      </c>
      <c r="M12">
        <v>487687.2</v>
      </c>
      <c r="N12">
        <v>275975.7</v>
      </c>
    </row>
    <row r="13" spans="1:14" x14ac:dyDescent="0.3">
      <c r="A13" t="s">
        <v>14</v>
      </c>
      <c r="B13" t="s">
        <v>61</v>
      </c>
      <c r="C13" t="s">
        <v>32</v>
      </c>
      <c r="D13" t="s">
        <v>23</v>
      </c>
      <c r="E13" t="s">
        <v>54</v>
      </c>
      <c r="F13" t="s">
        <v>62</v>
      </c>
      <c r="G13">
        <v>904589211</v>
      </c>
      <c r="H13" t="s">
        <v>63</v>
      </c>
      <c r="I13">
        <v>6905</v>
      </c>
      <c r="J13">
        <v>651.21</v>
      </c>
      <c r="K13">
        <v>524.96</v>
      </c>
      <c r="L13">
        <v>4496605.05</v>
      </c>
      <c r="M13">
        <v>3624848.8</v>
      </c>
      <c r="N13">
        <v>871756.25</v>
      </c>
    </row>
    <row r="14" spans="1:14" x14ac:dyDescent="0.3">
      <c r="A14" t="s">
        <v>14</v>
      </c>
      <c r="B14" t="s">
        <v>21</v>
      </c>
      <c r="C14" t="s">
        <v>64</v>
      </c>
      <c r="D14" t="s">
        <v>23</v>
      </c>
      <c r="E14" t="s">
        <v>18</v>
      </c>
      <c r="F14" t="s">
        <v>65</v>
      </c>
      <c r="G14">
        <v>184412229</v>
      </c>
      <c r="H14" t="s">
        <v>66</v>
      </c>
      <c r="I14">
        <v>531</v>
      </c>
      <c r="J14">
        <v>255.28</v>
      </c>
      <c r="K14">
        <v>159.41999999999999</v>
      </c>
      <c r="L14">
        <v>135553.68</v>
      </c>
      <c r="M14">
        <v>84652.02</v>
      </c>
      <c r="N14">
        <v>50901.66</v>
      </c>
    </row>
    <row r="15" spans="1:14" x14ac:dyDescent="0.3">
      <c r="A15" t="s">
        <v>14</v>
      </c>
      <c r="B15" t="s">
        <v>67</v>
      </c>
      <c r="C15" t="s">
        <v>50</v>
      </c>
      <c r="D15" t="s">
        <v>17</v>
      </c>
      <c r="E15" t="s">
        <v>24</v>
      </c>
      <c r="F15" t="s">
        <v>68</v>
      </c>
      <c r="G15">
        <v>747774398</v>
      </c>
      <c r="H15" t="s">
        <v>69</v>
      </c>
      <c r="I15">
        <v>1916</v>
      </c>
      <c r="J15">
        <v>421.89</v>
      </c>
      <c r="K15">
        <v>364.69</v>
      </c>
      <c r="L15">
        <v>808341.24</v>
      </c>
      <c r="M15">
        <v>698746.04</v>
      </c>
      <c r="N15">
        <v>109595.2</v>
      </c>
    </row>
    <row r="16" spans="1:14" x14ac:dyDescent="0.3">
      <c r="A16" t="s">
        <v>14</v>
      </c>
      <c r="B16" t="s">
        <v>70</v>
      </c>
      <c r="C16" t="s">
        <v>71</v>
      </c>
      <c r="D16" t="s">
        <v>23</v>
      </c>
      <c r="E16" t="s">
        <v>24</v>
      </c>
      <c r="F16" t="s">
        <v>72</v>
      </c>
      <c r="G16">
        <v>194176757</v>
      </c>
      <c r="H16" t="s">
        <v>73</v>
      </c>
      <c r="I16">
        <v>72</v>
      </c>
      <c r="J16">
        <v>668.27</v>
      </c>
      <c r="K16">
        <v>502.54</v>
      </c>
      <c r="L16">
        <v>48115.44</v>
      </c>
      <c r="M16">
        <v>36182.879999999997</v>
      </c>
      <c r="N16">
        <v>11932.56</v>
      </c>
    </row>
    <row r="17" spans="1:14" x14ac:dyDescent="0.3">
      <c r="A17" t="s">
        <v>14</v>
      </c>
      <c r="B17" t="s">
        <v>74</v>
      </c>
      <c r="C17" t="s">
        <v>75</v>
      </c>
      <c r="D17" t="s">
        <v>23</v>
      </c>
      <c r="E17" t="s">
        <v>54</v>
      </c>
      <c r="F17" t="s">
        <v>76</v>
      </c>
      <c r="G17">
        <v>773645913</v>
      </c>
      <c r="H17" t="s">
        <v>77</v>
      </c>
      <c r="I17">
        <v>7873</v>
      </c>
      <c r="J17">
        <v>437.2</v>
      </c>
      <c r="K17">
        <v>263.33</v>
      </c>
      <c r="L17">
        <v>3442075.6</v>
      </c>
      <c r="M17">
        <v>2073197.09</v>
      </c>
      <c r="N17">
        <v>1368878.51</v>
      </c>
    </row>
    <row r="18" spans="1:14" x14ac:dyDescent="0.3">
      <c r="A18" t="s">
        <v>14</v>
      </c>
      <c r="B18" t="s">
        <v>21</v>
      </c>
      <c r="C18" t="s">
        <v>50</v>
      </c>
      <c r="D18" t="s">
        <v>23</v>
      </c>
      <c r="E18" t="s">
        <v>54</v>
      </c>
      <c r="F18" t="s">
        <v>78</v>
      </c>
      <c r="G18">
        <v>410740888</v>
      </c>
      <c r="H18" t="s">
        <v>79</v>
      </c>
      <c r="I18">
        <v>6211</v>
      </c>
      <c r="J18">
        <v>421.89</v>
      </c>
      <c r="K18">
        <v>364.69</v>
      </c>
      <c r="L18">
        <v>2620358.79</v>
      </c>
      <c r="M18">
        <v>2265089.59</v>
      </c>
      <c r="N18">
        <v>355269.2</v>
      </c>
    </row>
    <row r="19" spans="1:14" x14ac:dyDescent="0.3">
      <c r="A19" t="s">
        <v>14</v>
      </c>
      <c r="B19" t="s">
        <v>80</v>
      </c>
      <c r="C19" t="s">
        <v>50</v>
      </c>
      <c r="D19" t="s">
        <v>17</v>
      </c>
      <c r="E19" t="s">
        <v>24</v>
      </c>
      <c r="F19" t="s">
        <v>81</v>
      </c>
      <c r="G19">
        <v>847317397</v>
      </c>
      <c r="H19" t="s">
        <v>82</v>
      </c>
      <c r="I19">
        <v>8902</v>
      </c>
      <c r="J19">
        <v>421.89</v>
      </c>
      <c r="K19">
        <v>364.69</v>
      </c>
      <c r="L19">
        <v>3755664.78</v>
      </c>
      <c r="M19">
        <v>3246470.38</v>
      </c>
      <c r="N19">
        <v>509194.4</v>
      </c>
    </row>
    <row r="20" spans="1:14" x14ac:dyDescent="0.3">
      <c r="A20" t="s">
        <v>14</v>
      </c>
      <c r="B20" t="s">
        <v>83</v>
      </c>
      <c r="C20" t="s">
        <v>16</v>
      </c>
      <c r="D20" t="s">
        <v>23</v>
      </c>
      <c r="E20" t="s">
        <v>33</v>
      </c>
      <c r="F20" t="s">
        <v>84</v>
      </c>
      <c r="G20">
        <v>599624192</v>
      </c>
      <c r="H20" t="s">
        <v>85</v>
      </c>
      <c r="I20">
        <v>978</v>
      </c>
      <c r="J20">
        <v>47.45</v>
      </c>
      <c r="K20">
        <v>31.79</v>
      </c>
      <c r="L20">
        <v>46406.1</v>
      </c>
      <c r="M20">
        <v>31090.62</v>
      </c>
      <c r="N20">
        <v>15315.48</v>
      </c>
    </row>
    <row r="21" spans="1:14" x14ac:dyDescent="0.3">
      <c r="A21" t="s">
        <v>14</v>
      </c>
      <c r="B21" t="s">
        <v>86</v>
      </c>
      <c r="C21" t="s">
        <v>32</v>
      </c>
      <c r="D21" t="s">
        <v>23</v>
      </c>
      <c r="E21" t="s">
        <v>24</v>
      </c>
      <c r="F21" t="s">
        <v>87</v>
      </c>
      <c r="G21">
        <v>734318292</v>
      </c>
      <c r="H21" t="s">
        <v>88</v>
      </c>
      <c r="I21">
        <v>9956</v>
      </c>
      <c r="J21">
        <v>651.21</v>
      </c>
      <c r="K21">
        <v>524.96</v>
      </c>
      <c r="L21">
        <v>6483446.7599999998</v>
      </c>
      <c r="M21">
        <v>5226501.76</v>
      </c>
      <c r="N21">
        <v>1256945</v>
      </c>
    </row>
    <row r="22" spans="1:14" x14ac:dyDescent="0.3">
      <c r="A22" t="s">
        <v>14</v>
      </c>
      <c r="B22" t="s">
        <v>89</v>
      </c>
      <c r="C22" t="s">
        <v>71</v>
      </c>
      <c r="D22" t="s">
        <v>17</v>
      </c>
      <c r="E22" t="s">
        <v>33</v>
      </c>
      <c r="F22" t="s">
        <v>90</v>
      </c>
      <c r="G22">
        <v>232196319</v>
      </c>
      <c r="H22" t="s">
        <v>91</v>
      </c>
      <c r="I22">
        <v>905</v>
      </c>
      <c r="J22">
        <v>668.27</v>
      </c>
      <c r="K22">
        <v>502.54</v>
      </c>
      <c r="L22">
        <v>604784.35</v>
      </c>
      <c r="M22">
        <v>454798.7</v>
      </c>
      <c r="N22">
        <v>149985.65</v>
      </c>
    </row>
    <row r="23" spans="1:14" x14ac:dyDescent="0.3">
      <c r="A23" t="s">
        <v>14</v>
      </c>
      <c r="B23" t="s">
        <v>92</v>
      </c>
      <c r="C23" t="s">
        <v>75</v>
      </c>
      <c r="D23" t="s">
        <v>23</v>
      </c>
      <c r="E23" t="s">
        <v>33</v>
      </c>
      <c r="F23" t="s">
        <v>93</v>
      </c>
      <c r="G23">
        <v>229693067</v>
      </c>
      <c r="H23" t="s">
        <v>93</v>
      </c>
      <c r="I23">
        <v>138</v>
      </c>
      <c r="J23">
        <v>437.2</v>
      </c>
      <c r="K23">
        <v>263.33</v>
      </c>
      <c r="L23">
        <v>60333.599999999999</v>
      </c>
      <c r="M23">
        <v>36339.54</v>
      </c>
      <c r="N23">
        <v>23994.06</v>
      </c>
    </row>
    <row r="24" spans="1:14" x14ac:dyDescent="0.3">
      <c r="A24" t="s">
        <v>14</v>
      </c>
      <c r="B24" t="s">
        <v>94</v>
      </c>
      <c r="C24" t="s">
        <v>16</v>
      </c>
      <c r="D24" t="s">
        <v>23</v>
      </c>
      <c r="E24" t="s">
        <v>18</v>
      </c>
      <c r="F24" t="s">
        <v>95</v>
      </c>
      <c r="G24">
        <v>121945512</v>
      </c>
      <c r="H24" t="s">
        <v>96</v>
      </c>
      <c r="I24">
        <v>5242</v>
      </c>
      <c r="J24">
        <v>47.45</v>
      </c>
      <c r="K24">
        <v>31.79</v>
      </c>
      <c r="L24">
        <v>248732.9</v>
      </c>
      <c r="M24">
        <v>166643.18</v>
      </c>
      <c r="N24">
        <v>82089.72</v>
      </c>
    </row>
    <row r="25" spans="1:14" x14ac:dyDescent="0.3">
      <c r="A25" t="s">
        <v>14</v>
      </c>
      <c r="B25" t="s">
        <v>97</v>
      </c>
      <c r="C25" t="s">
        <v>37</v>
      </c>
      <c r="D25" t="s">
        <v>23</v>
      </c>
      <c r="E25" t="s">
        <v>54</v>
      </c>
      <c r="F25" t="s">
        <v>98</v>
      </c>
      <c r="G25">
        <v>169799983</v>
      </c>
      <c r="H25" t="s">
        <v>99</v>
      </c>
      <c r="I25">
        <v>6443</v>
      </c>
      <c r="J25">
        <v>9.33</v>
      </c>
      <c r="K25">
        <v>6.92</v>
      </c>
      <c r="L25">
        <v>60113.19</v>
      </c>
      <c r="M25">
        <v>44585.56</v>
      </c>
      <c r="N25">
        <v>15527.63</v>
      </c>
    </row>
    <row r="26" spans="1:14" x14ac:dyDescent="0.3">
      <c r="A26" t="s">
        <v>14</v>
      </c>
      <c r="B26" t="s">
        <v>100</v>
      </c>
      <c r="C26" t="s">
        <v>46</v>
      </c>
      <c r="D26" t="s">
        <v>23</v>
      </c>
      <c r="E26" t="s">
        <v>24</v>
      </c>
      <c r="F26" t="s">
        <v>101</v>
      </c>
      <c r="G26">
        <v>894589078</v>
      </c>
      <c r="H26" t="s">
        <v>52</v>
      </c>
      <c r="I26">
        <v>7643</v>
      </c>
      <c r="J26">
        <v>154.06</v>
      </c>
      <c r="K26">
        <v>90.93</v>
      </c>
      <c r="L26">
        <v>1177480.58</v>
      </c>
      <c r="M26">
        <v>694977.99</v>
      </c>
      <c r="N26">
        <v>482502.59</v>
      </c>
    </row>
    <row r="27" spans="1:14" x14ac:dyDescent="0.3">
      <c r="A27" t="s">
        <v>14</v>
      </c>
      <c r="B27" t="s">
        <v>74</v>
      </c>
      <c r="C27" t="s">
        <v>102</v>
      </c>
      <c r="D27" t="s">
        <v>23</v>
      </c>
      <c r="E27" t="s">
        <v>24</v>
      </c>
      <c r="F27" t="s">
        <v>103</v>
      </c>
      <c r="G27">
        <v>987459170</v>
      </c>
      <c r="H27" t="s">
        <v>104</v>
      </c>
      <c r="I27">
        <v>9967</v>
      </c>
      <c r="J27">
        <v>81.73</v>
      </c>
      <c r="K27">
        <v>56.67</v>
      </c>
      <c r="L27">
        <v>814602.91</v>
      </c>
      <c r="M27">
        <v>564829.89</v>
      </c>
      <c r="N27">
        <v>249773.02</v>
      </c>
    </row>
    <row r="28" spans="1:14" x14ac:dyDescent="0.3">
      <c r="A28" t="s">
        <v>14</v>
      </c>
      <c r="B28" t="s">
        <v>105</v>
      </c>
      <c r="C28" t="s">
        <v>37</v>
      </c>
      <c r="D28" t="s">
        <v>17</v>
      </c>
      <c r="E28" t="s">
        <v>24</v>
      </c>
      <c r="F28" t="s">
        <v>106</v>
      </c>
      <c r="G28">
        <v>600515115</v>
      </c>
      <c r="H28" t="s">
        <v>107</v>
      </c>
      <c r="I28">
        <v>4622</v>
      </c>
      <c r="J28">
        <v>9.33</v>
      </c>
      <c r="K28">
        <v>6.92</v>
      </c>
      <c r="L28">
        <v>43123.26</v>
      </c>
      <c r="M28">
        <v>31984.240000000002</v>
      </c>
      <c r="N28">
        <v>11139.02</v>
      </c>
    </row>
    <row r="29" spans="1:14" x14ac:dyDescent="0.3">
      <c r="A29" t="s">
        <v>14</v>
      </c>
      <c r="B29" t="s">
        <v>89</v>
      </c>
      <c r="C29" t="s">
        <v>32</v>
      </c>
      <c r="D29" t="s">
        <v>17</v>
      </c>
      <c r="E29" t="s">
        <v>24</v>
      </c>
      <c r="F29" t="s">
        <v>108</v>
      </c>
      <c r="G29">
        <v>208365428</v>
      </c>
      <c r="H29" t="s">
        <v>109</v>
      </c>
      <c r="I29">
        <v>8815</v>
      </c>
      <c r="J29">
        <v>651.21</v>
      </c>
      <c r="K29">
        <v>524.96</v>
      </c>
      <c r="L29">
        <v>5740416.1500000004</v>
      </c>
      <c r="M29">
        <v>4627522.4000000004</v>
      </c>
      <c r="N29">
        <v>1112893.75</v>
      </c>
    </row>
    <row r="30" spans="1:14" x14ac:dyDescent="0.3">
      <c r="A30" t="s">
        <v>14</v>
      </c>
      <c r="B30" t="s">
        <v>110</v>
      </c>
      <c r="C30" t="s">
        <v>102</v>
      </c>
      <c r="D30" t="s">
        <v>23</v>
      </c>
      <c r="E30" t="s">
        <v>33</v>
      </c>
      <c r="F30" t="s">
        <v>111</v>
      </c>
      <c r="G30">
        <v>263098371</v>
      </c>
      <c r="H30" t="s">
        <v>112</v>
      </c>
      <c r="I30">
        <v>5509</v>
      </c>
      <c r="J30">
        <v>81.73</v>
      </c>
      <c r="K30">
        <v>56.67</v>
      </c>
      <c r="L30">
        <v>450250.57</v>
      </c>
      <c r="M30">
        <v>312195.03000000003</v>
      </c>
      <c r="N30">
        <v>138055.54</v>
      </c>
    </row>
    <row r="31" spans="1:14" x14ac:dyDescent="0.3">
      <c r="A31" t="s">
        <v>14</v>
      </c>
      <c r="B31" t="s">
        <v>36</v>
      </c>
      <c r="C31" t="s">
        <v>75</v>
      </c>
      <c r="D31" t="s">
        <v>23</v>
      </c>
      <c r="E31" t="s">
        <v>18</v>
      </c>
      <c r="F31" t="s">
        <v>113</v>
      </c>
      <c r="G31">
        <v>790149009</v>
      </c>
      <c r="H31" t="s">
        <v>114</v>
      </c>
      <c r="I31">
        <v>1505</v>
      </c>
      <c r="J31">
        <v>437.2</v>
      </c>
      <c r="K31">
        <v>263.33</v>
      </c>
      <c r="L31">
        <v>657986</v>
      </c>
      <c r="M31">
        <v>396311.65</v>
      </c>
      <c r="N31">
        <v>261674.35</v>
      </c>
    </row>
    <row r="32" spans="1:14" x14ac:dyDescent="0.3">
      <c r="A32" t="s">
        <v>14</v>
      </c>
      <c r="B32" t="s">
        <v>115</v>
      </c>
      <c r="C32" t="s">
        <v>28</v>
      </c>
      <c r="D32" t="s">
        <v>23</v>
      </c>
      <c r="E32" t="s">
        <v>24</v>
      </c>
      <c r="F32" t="s">
        <v>116</v>
      </c>
      <c r="G32">
        <v>100640618</v>
      </c>
      <c r="H32" t="s">
        <v>117</v>
      </c>
      <c r="I32">
        <v>650</v>
      </c>
      <c r="J32">
        <v>205.7</v>
      </c>
      <c r="K32">
        <v>117.11</v>
      </c>
      <c r="L32">
        <v>133705</v>
      </c>
      <c r="M32">
        <v>76121.5</v>
      </c>
      <c r="N32">
        <v>57583.5</v>
      </c>
    </row>
    <row r="33" spans="1:14" x14ac:dyDescent="0.3">
      <c r="A33" t="s">
        <v>14</v>
      </c>
      <c r="B33" t="s">
        <v>45</v>
      </c>
      <c r="C33" t="s">
        <v>58</v>
      </c>
      <c r="D33" t="s">
        <v>23</v>
      </c>
      <c r="E33" t="s">
        <v>54</v>
      </c>
      <c r="F33" t="s">
        <v>118</v>
      </c>
      <c r="G33">
        <v>977324712</v>
      </c>
      <c r="H33" t="s">
        <v>119</v>
      </c>
      <c r="I33">
        <v>955</v>
      </c>
      <c r="J33">
        <v>152.58000000000001</v>
      </c>
      <c r="K33">
        <v>97.44</v>
      </c>
      <c r="L33">
        <v>145713.9</v>
      </c>
      <c r="M33">
        <v>93055.2</v>
      </c>
      <c r="N33">
        <v>52658.7</v>
      </c>
    </row>
    <row r="34" spans="1:14" x14ac:dyDescent="0.3">
      <c r="A34" t="s">
        <v>14</v>
      </c>
      <c r="B34" t="s">
        <v>45</v>
      </c>
      <c r="C34" t="s">
        <v>58</v>
      </c>
      <c r="D34" t="s">
        <v>23</v>
      </c>
      <c r="E34" t="s">
        <v>54</v>
      </c>
      <c r="F34" t="s">
        <v>120</v>
      </c>
      <c r="G34">
        <v>510956799</v>
      </c>
      <c r="H34" t="s">
        <v>121</v>
      </c>
      <c r="I34">
        <v>2326</v>
      </c>
      <c r="J34">
        <v>152.58000000000001</v>
      </c>
      <c r="K34">
        <v>97.44</v>
      </c>
      <c r="L34">
        <v>354901.08</v>
      </c>
      <c r="M34">
        <v>226645.44</v>
      </c>
      <c r="N34">
        <v>128255.64</v>
      </c>
    </row>
    <row r="35" spans="1:14" x14ac:dyDescent="0.3">
      <c r="A35" t="s">
        <v>14</v>
      </c>
      <c r="B35" t="s">
        <v>122</v>
      </c>
      <c r="C35" t="s">
        <v>37</v>
      </c>
      <c r="D35" t="s">
        <v>23</v>
      </c>
      <c r="E35" t="s">
        <v>24</v>
      </c>
      <c r="F35" t="s">
        <v>123</v>
      </c>
      <c r="G35">
        <v>120977771</v>
      </c>
      <c r="H35" t="s">
        <v>124</v>
      </c>
      <c r="I35">
        <v>8866</v>
      </c>
      <c r="J35">
        <v>9.33</v>
      </c>
      <c r="K35">
        <v>6.92</v>
      </c>
      <c r="L35">
        <v>82719.78</v>
      </c>
      <c r="M35">
        <v>61352.72</v>
      </c>
      <c r="N35">
        <v>21367.06</v>
      </c>
    </row>
    <row r="36" spans="1:14" x14ac:dyDescent="0.3">
      <c r="A36" t="s">
        <v>14</v>
      </c>
      <c r="B36" t="s">
        <v>31</v>
      </c>
      <c r="C36" t="s">
        <v>58</v>
      </c>
      <c r="D36" t="s">
        <v>17</v>
      </c>
      <c r="E36" t="s">
        <v>33</v>
      </c>
      <c r="F36" t="s">
        <v>125</v>
      </c>
      <c r="G36">
        <v>476991450</v>
      </c>
      <c r="H36" t="s">
        <v>126</v>
      </c>
      <c r="I36">
        <v>1225</v>
      </c>
      <c r="J36">
        <v>152.58000000000001</v>
      </c>
      <c r="K36">
        <v>97.44</v>
      </c>
      <c r="L36">
        <v>186910.5</v>
      </c>
      <c r="M36">
        <v>119364</v>
      </c>
      <c r="N36">
        <v>67546.5</v>
      </c>
    </row>
    <row r="37" spans="1:14" x14ac:dyDescent="0.3">
      <c r="A37" t="s">
        <v>14</v>
      </c>
      <c r="B37" t="s">
        <v>127</v>
      </c>
      <c r="C37" t="s">
        <v>16</v>
      </c>
      <c r="D37" t="s">
        <v>23</v>
      </c>
      <c r="E37" t="s">
        <v>54</v>
      </c>
      <c r="F37" t="s">
        <v>128</v>
      </c>
      <c r="G37">
        <v>973268353</v>
      </c>
      <c r="H37" t="s">
        <v>129</v>
      </c>
      <c r="I37">
        <v>589</v>
      </c>
      <c r="J37">
        <v>47.45</v>
      </c>
      <c r="K37">
        <v>31.79</v>
      </c>
      <c r="L37">
        <v>27948.05</v>
      </c>
      <c r="M37">
        <v>18724.310000000001</v>
      </c>
      <c r="N37">
        <v>9223.74</v>
      </c>
    </row>
    <row r="38" spans="1:14" x14ac:dyDescent="0.3">
      <c r="A38" t="s">
        <v>14</v>
      </c>
      <c r="B38" t="s">
        <v>53</v>
      </c>
      <c r="C38" t="s">
        <v>46</v>
      </c>
      <c r="D38" t="s">
        <v>17</v>
      </c>
      <c r="E38" t="s">
        <v>33</v>
      </c>
      <c r="F38" t="s">
        <v>130</v>
      </c>
      <c r="G38">
        <v>771674382</v>
      </c>
      <c r="H38" t="s">
        <v>131</v>
      </c>
      <c r="I38">
        <v>4453</v>
      </c>
      <c r="J38">
        <v>154.06</v>
      </c>
      <c r="K38">
        <v>90.93</v>
      </c>
      <c r="L38">
        <v>686029.18</v>
      </c>
      <c r="M38">
        <v>404911.29</v>
      </c>
      <c r="N38">
        <v>281117.89</v>
      </c>
    </row>
    <row r="39" spans="1:14" x14ac:dyDescent="0.3">
      <c r="A39" t="s">
        <v>14</v>
      </c>
      <c r="B39" t="s">
        <v>132</v>
      </c>
      <c r="C39" t="s">
        <v>37</v>
      </c>
      <c r="D39" t="s">
        <v>23</v>
      </c>
      <c r="E39" t="s">
        <v>33</v>
      </c>
      <c r="F39" t="s">
        <v>133</v>
      </c>
      <c r="G39">
        <v>291995418</v>
      </c>
      <c r="H39" t="s">
        <v>134</v>
      </c>
      <c r="I39">
        <v>6788</v>
      </c>
      <c r="J39">
        <v>9.33</v>
      </c>
      <c r="K39">
        <v>6.92</v>
      </c>
      <c r="L39">
        <v>63332.04</v>
      </c>
      <c r="M39">
        <v>46972.959999999999</v>
      </c>
      <c r="N39">
        <v>16359.08</v>
      </c>
    </row>
    <row r="40" spans="1:14" x14ac:dyDescent="0.3">
      <c r="A40" t="s">
        <v>14</v>
      </c>
      <c r="B40" t="s">
        <v>135</v>
      </c>
      <c r="C40" t="s">
        <v>64</v>
      </c>
      <c r="D40" t="s">
        <v>23</v>
      </c>
      <c r="E40" t="s">
        <v>24</v>
      </c>
      <c r="F40" t="s">
        <v>136</v>
      </c>
      <c r="G40">
        <v>128686225</v>
      </c>
      <c r="H40" t="s">
        <v>137</v>
      </c>
      <c r="I40">
        <v>9968</v>
      </c>
      <c r="J40">
        <v>255.28</v>
      </c>
      <c r="K40">
        <v>159.41999999999999</v>
      </c>
      <c r="L40">
        <v>2544631.04</v>
      </c>
      <c r="M40">
        <v>1589098.56</v>
      </c>
      <c r="N40">
        <v>955532.48</v>
      </c>
    </row>
    <row r="41" spans="1:14" x14ac:dyDescent="0.3">
      <c r="A41" t="s">
        <v>14</v>
      </c>
      <c r="B41" t="s">
        <v>138</v>
      </c>
      <c r="C41" t="s">
        <v>75</v>
      </c>
      <c r="D41" t="s">
        <v>17</v>
      </c>
      <c r="E41" t="s">
        <v>33</v>
      </c>
      <c r="F41" t="s">
        <v>139</v>
      </c>
      <c r="G41">
        <v>420875346</v>
      </c>
      <c r="H41" t="s">
        <v>140</v>
      </c>
      <c r="I41">
        <v>5223</v>
      </c>
      <c r="J41">
        <v>437.2</v>
      </c>
      <c r="K41">
        <v>263.33</v>
      </c>
      <c r="L41">
        <v>2283495.6</v>
      </c>
      <c r="M41">
        <v>1375372.59</v>
      </c>
      <c r="N41">
        <v>908123.01</v>
      </c>
    </row>
    <row r="42" spans="1:14" x14ac:dyDescent="0.3">
      <c r="A42" t="s">
        <v>14</v>
      </c>
      <c r="B42" t="s">
        <v>141</v>
      </c>
      <c r="C42" t="s">
        <v>46</v>
      </c>
      <c r="D42" t="s">
        <v>23</v>
      </c>
      <c r="E42" t="s">
        <v>18</v>
      </c>
      <c r="F42" t="s">
        <v>142</v>
      </c>
      <c r="G42">
        <v>476633536</v>
      </c>
      <c r="H42" t="s">
        <v>143</v>
      </c>
      <c r="I42">
        <v>5310</v>
      </c>
      <c r="J42">
        <v>154.06</v>
      </c>
      <c r="K42">
        <v>90.93</v>
      </c>
      <c r="L42">
        <v>818058.6</v>
      </c>
      <c r="M42">
        <v>482838.3</v>
      </c>
      <c r="N42">
        <v>335220.3</v>
      </c>
    </row>
    <row r="43" spans="1:14" x14ac:dyDescent="0.3">
      <c r="A43" t="s">
        <v>14</v>
      </c>
      <c r="B43" t="s">
        <v>105</v>
      </c>
      <c r="C43" t="s">
        <v>46</v>
      </c>
      <c r="D43" t="s">
        <v>17</v>
      </c>
      <c r="E43" t="s">
        <v>18</v>
      </c>
      <c r="F43" t="s">
        <v>144</v>
      </c>
      <c r="G43">
        <v>727997720</v>
      </c>
      <c r="H43" t="s">
        <v>145</v>
      </c>
      <c r="I43">
        <v>9558</v>
      </c>
      <c r="J43">
        <v>154.06</v>
      </c>
      <c r="K43">
        <v>90.93</v>
      </c>
      <c r="L43">
        <v>1472505.48</v>
      </c>
      <c r="M43">
        <v>869108.94</v>
      </c>
      <c r="N43">
        <v>603396.54</v>
      </c>
    </row>
    <row r="44" spans="1:14" x14ac:dyDescent="0.3">
      <c r="A44" t="s">
        <v>14</v>
      </c>
      <c r="B44" t="s">
        <v>146</v>
      </c>
      <c r="C44" t="s">
        <v>102</v>
      </c>
      <c r="D44" t="s">
        <v>23</v>
      </c>
      <c r="E44" t="s">
        <v>24</v>
      </c>
      <c r="F44" t="s">
        <v>147</v>
      </c>
      <c r="G44">
        <v>467045819</v>
      </c>
      <c r="H44" t="s">
        <v>148</v>
      </c>
      <c r="I44">
        <v>8092</v>
      </c>
      <c r="J44">
        <v>81.73</v>
      </c>
      <c r="K44">
        <v>56.67</v>
      </c>
      <c r="L44">
        <v>661359.16</v>
      </c>
      <c r="M44">
        <v>458573.64</v>
      </c>
      <c r="N44">
        <v>202785.52</v>
      </c>
    </row>
    <row r="45" spans="1:14" x14ac:dyDescent="0.3">
      <c r="A45" t="s">
        <v>14</v>
      </c>
      <c r="B45" t="s">
        <v>132</v>
      </c>
      <c r="C45" t="s">
        <v>75</v>
      </c>
      <c r="D45" t="s">
        <v>17</v>
      </c>
      <c r="E45" t="s">
        <v>18</v>
      </c>
      <c r="F45" t="s">
        <v>149</v>
      </c>
      <c r="G45">
        <v>813973891</v>
      </c>
      <c r="H45" t="s">
        <v>150</v>
      </c>
      <c r="I45">
        <v>1818</v>
      </c>
      <c r="J45">
        <v>437.2</v>
      </c>
      <c r="K45">
        <v>263.33</v>
      </c>
      <c r="L45">
        <v>794829.6</v>
      </c>
      <c r="M45">
        <v>478733.94</v>
      </c>
      <c r="N45">
        <v>316095.65999999997</v>
      </c>
    </row>
    <row r="46" spans="1:14" x14ac:dyDescent="0.3">
      <c r="A46" t="s">
        <v>14</v>
      </c>
      <c r="B46" t="s">
        <v>141</v>
      </c>
      <c r="C46" t="s">
        <v>75</v>
      </c>
      <c r="D46" t="s">
        <v>17</v>
      </c>
      <c r="E46" t="s">
        <v>33</v>
      </c>
      <c r="F46" t="s">
        <v>151</v>
      </c>
      <c r="G46">
        <v>576944720</v>
      </c>
      <c r="H46" t="s">
        <v>152</v>
      </c>
      <c r="I46">
        <v>9619</v>
      </c>
      <c r="J46">
        <v>437.2</v>
      </c>
      <c r="K46">
        <v>263.33</v>
      </c>
      <c r="L46">
        <v>4205426.8</v>
      </c>
      <c r="M46">
        <v>2532971.27</v>
      </c>
      <c r="N46">
        <v>1672455.53</v>
      </c>
    </row>
    <row r="47" spans="1:14" x14ac:dyDescent="0.3">
      <c r="A47" t="s">
        <v>14</v>
      </c>
      <c r="B47" t="s">
        <v>86</v>
      </c>
      <c r="C47" t="s">
        <v>64</v>
      </c>
      <c r="D47" t="s">
        <v>23</v>
      </c>
      <c r="E47" t="s">
        <v>33</v>
      </c>
      <c r="F47" t="s">
        <v>153</v>
      </c>
      <c r="G47">
        <v>404789817</v>
      </c>
      <c r="H47" t="s">
        <v>154</v>
      </c>
      <c r="I47">
        <v>5157</v>
      </c>
      <c r="J47">
        <v>255.28</v>
      </c>
      <c r="K47">
        <v>159.41999999999999</v>
      </c>
      <c r="L47">
        <v>1316478.96</v>
      </c>
      <c r="M47">
        <v>822128.94</v>
      </c>
      <c r="N47">
        <v>494350.02</v>
      </c>
    </row>
    <row r="48" spans="1:14" x14ac:dyDescent="0.3">
      <c r="A48" t="s">
        <v>14</v>
      </c>
      <c r="B48" t="s">
        <v>21</v>
      </c>
      <c r="C48" t="s">
        <v>64</v>
      </c>
      <c r="D48" t="s">
        <v>23</v>
      </c>
      <c r="E48" t="s">
        <v>18</v>
      </c>
      <c r="F48" t="s">
        <v>155</v>
      </c>
      <c r="G48">
        <v>871923768</v>
      </c>
      <c r="H48" t="s">
        <v>156</v>
      </c>
      <c r="I48">
        <v>474</v>
      </c>
      <c r="J48">
        <v>255.28</v>
      </c>
      <c r="K48">
        <v>159.41999999999999</v>
      </c>
      <c r="L48">
        <v>121002.72</v>
      </c>
      <c r="M48">
        <v>75565.08</v>
      </c>
      <c r="N48">
        <v>45437.64</v>
      </c>
    </row>
    <row r="49" spans="1:14" x14ac:dyDescent="0.3">
      <c r="A49" t="s">
        <v>14</v>
      </c>
      <c r="B49" t="s">
        <v>132</v>
      </c>
      <c r="C49" t="s">
        <v>46</v>
      </c>
      <c r="D49" t="s">
        <v>17</v>
      </c>
      <c r="E49" t="s">
        <v>18</v>
      </c>
      <c r="F49" t="s">
        <v>157</v>
      </c>
      <c r="G49">
        <v>818976962</v>
      </c>
      <c r="H49" t="s">
        <v>158</v>
      </c>
      <c r="I49">
        <v>2337</v>
      </c>
      <c r="J49">
        <v>154.06</v>
      </c>
      <c r="K49">
        <v>90.93</v>
      </c>
      <c r="L49">
        <v>360038.22</v>
      </c>
      <c r="M49">
        <v>212503.41</v>
      </c>
      <c r="N49">
        <v>147534.81</v>
      </c>
    </row>
    <row r="50" spans="1:14" x14ac:dyDescent="0.3">
      <c r="A50" t="s">
        <v>14</v>
      </c>
      <c r="B50" t="s">
        <v>49</v>
      </c>
      <c r="C50" t="s">
        <v>75</v>
      </c>
      <c r="D50" t="s">
        <v>23</v>
      </c>
      <c r="E50" t="s">
        <v>18</v>
      </c>
      <c r="F50" t="s">
        <v>159</v>
      </c>
      <c r="G50">
        <v>233811223</v>
      </c>
      <c r="H50" t="s">
        <v>159</v>
      </c>
      <c r="I50">
        <v>8792</v>
      </c>
      <c r="J50">
        <v>437.2</v>
      </c>
      <c r="K50">
        <v>263.33</v>
      </c>
      <c r="L50">
        <v>3843862.4</v>
      </c>
      <c r="M50">
        <v>2315197.36</v>
      </c>
      <c r="N50">
        <v>1528665.04</v>
      </c>
    </row>
    <row r="51" spans="1:14" x14ac:dyDescent="0.3">
      <c r="A51" t="s">
        <v>14</v>
      </c>
      <c r="B51" t="s">
        <v>138</v>
      </c>
      <c r="C51" t="s">
        <v>32</v>
      </c>
      <c r="D51" t="s">
        <v>17</v>
      </c>
      <c r="E51" t="s">
        <v>18</v>
      </c>
      <c r="F51" t="s">
        <v>160</v>
      </c>
      <c r="G51">
        <v>112330758</v>
      </c>
      <c r="H51" t="s">
        <v>161</v>
      </c>
      <c r="I51">
        <v>22</v>
      </c>
      <c r="J51">
        <v>651.21</v>
      </c>
      <c r="K51">
        <v>524.96</v>
      </c>
      <c r="L51">
        <v>14326.62</v>
      </c>
      <c r="M51">
        <v>11549.12</v>
      </c>
      <c r="N51">
        <v>2777.5</v>
      </c>
    </row>
    <row r="52" spans="1:14" x14ac:dyDescent="0.3">
      <c r="A52" t="s">
        <v>14</v>
      </c>
      <c r="B52" t="s">
        <v>40</v>
      </c>
      <c r="C52" t="s">
        <v>32</v>
      </c>
      <c r="D52" t="s">
        <v>17</v>
      </c>
      <c r="E52" t="s">
        <v>54</v>
      </c>
      <c r="F52" t="s">
        <v>144</v>
      </c>
      <c r="G52">
        <v>256095016</v>
      </c>
      <c r="H52" t="s">
        <v>162</v>
      </c>
      <c r="I52">
        <v>3061</v>
      </c>
      <c r="J52">
        <v>651.21</v>
      </c>
      <c r="K52">
        <v>524.96</v>
      </c>
      <c r="L52">
        <v>1993353.81</v>
      </c>
      <c r="M52">
        <v>1606902.56</v>
      </c>
      <c r="N52">
        <v>386451.25</v>
      </c>
    </row>
    <row r="53" spans="1:14" x14ac:dyDescent="0.3">
      <c r="A53" t="s">
        <v>14</v>
      </c>
      <c r="B53" t="s">
        <v>163</v>
      </c>
      <c r="C53" t="s">
        <v>50</v>
      </c>
      <c r="D53" t="s">
        <v>23</v>
      </c>
      <c r="E53" t="s">
        <v>33</v>
      </c>
      <c r="F53" t="s">
        <v>164</v>
      </c>
      <c r="G53">
        <v>245440852</v>
      </c>
      <c r="H53" t="s">
        <v>165</v>
      </c>
      <c r="I53">
        <v>257</v>
      </c>
      <c r="J53">
        <v>421.89</v>
      </c>
      <c r="K53">
        <v>364.69</v>
      </c>
      <c r="L53">
        <v>108425.73</v>
      </c>
      <c r="M53">
        <v>93725.33</v>
      </c>
      <c r="N53">
        <v>14700.4</v>
      </c>
    </row>
    <row r="54" spans="1:14" x14ac:dyDescent="0.3">
      <c r="A54" t="s">
        <v>14</v>
      </c>
      <c r="B54" t="s">
        <v>166</v>
      </c>
      <c r="C54" t="s">
        <v>37</v>
      </c>
      <c r="D54" t="s">
        <v>23</v>
      </c>
      <c r="E54" t="s">
        <v>54</v>
      </c>
      <c r="F54" t="s">
        <v>167</v>
      </c>
      <c r="G54">
        <v>817006289</v>
      </c>
      <c r="H54" t="s">
        <v>168</v>
      </c>
      <c r="I54">
        <v>9172</v>
      </c>
      <c r="J54">
        <v>9.33</v>
      </c>
      <c r="K54">
        <v>6.92</v>
      </c>
      <c r="L54">
        <v>85574.76</v>
      </c>
      <c r="M54">
        <v>63470.239999999998</v>
      </c>
      <c r="N54">
        <v>22104.52</v>
      </c>
    </row>
    <row r="55" spans="1:14" x14ac:dyDescent="0.3">
      <c r="A55" t="s">
        <v>14</v>
      </c>
      <c r="B55" t="s">
        <v>169</v>
      </c>
      <c r="C55" t="s">
        <v>46</v>
      </c>
      <c r="D55" t="s">
        <v>23</v>
      </c>
      <c r="E55" t="s">
        <v>54</v>
      </c>
      <c r="F55" t="s">
        <v>170</v>
      </c>
      <c r="G55">
        <v>298228013</v>
      </c>
      <c r="H55" t="s">
        <v>171</v>
      </c>
      <c r="I55">
        <v>1151</v>
      </c>
      <c r="J55">
        <v>154.06</v>
      </c>
      <c r="K55">
        <v>90.93</v>
      </c>
      <c r="L55">
        <v>177323.06</v>
      </c>
      <c r="M55">
        <v>104660.43</v>
      </c>
      <c r="N55">
        <v>72662.63</v>
      </c>
    </row>
    <row r="56" spans="1:14" x14ac:dyDescent="0.3">
      <c r="A56" t="s">
        <v>14</v>
      </c>
      <c r="B56" t="s">
        <v>80</v>
      </c>
      <c r="C56" t="s">
        <v>58</v>
      </c>
      <c r="D56" t="s">
        <v>23</v>
      </c>
      <c r="E56" t="s">
        <v>18</v>
      </c>
      <c r="F56" t="s">
        <v>172</v>
      </c>
      <c r="G56">
        <v>972981679</v>
      </c>
      <c r="H56" t="s">
        <v>173</v>
      </c>
      <c r="I56">
        <v>5755</v>
      </c>
      <c r="J56">
        <v>152.58000000000001</v>
      </c>
      <c r="K56">
        <v>97.44</v>
      </c>
      <c r="L56">
        <v>878097.9</v>
      </c>
      <c r="M56">
        <v>560767.19999999995</v>
      </c>
      <c r="N56">
        <v>317330.7</v>
      </c>
    </row>
    <row r="57" spans="1:14" x14ac:dyDescent="0.3">
      <c r="A57" t="s">
        <v>14</v>
      </c>
      <c r="B57" t="s">
        <v>115</v>
      </c>
      <c r="C57" t="s">
        <v>102</v>
      </c>
      <c r="D57" t="s">
        <v>17</v>
      </c>
      <c r="E57" t="s">
        <v>24</v>
      </c>
      <c r="F57" t="s">
        <v>174</v>
      </c>
      <c r="G57">
        <v>594813811</v>
      </c>
      <c r="H57" t="s">
        <v>175</v>
      </c>
      <c r="I57">
        <v>7480</v>
      </c>
      <c r="J57">
        <v>81.73</v>
      </c>
      <c r="K57">
        <v>56.67</v>
      </c>
      <c r="L57">
        <v>611340.4</v>
      </c>
      <c r="M57">
        <v>423891.6</v>
      </c>
      <c r="N57">
        <v>187448.8</v>
      </c>
    </row>
    <row r="58" spans="1:14" x14ac:dyDescent="0.3">
      <c r="A58" t="s">
        <v>14</v>
      </c>
      <c r="B58" t="s">
        <v>36</v>
      </c>
      <c r="C58" t="s">
        <v>22</v>
      </c>
      <c r="D58" t="s">
        <v>23</v>
      </c>
      <c r="E58" t="s">
        <v>54</v>
      </c>
      <c r="F58" t="s">
        <v>176</v>
      </c>
      <c r="G58">
        <v>176722657</v>
      </c>
      <c r="H58" t="s">
        <v>177</v>
      </c>
      <c r="I58">
        <v>5016</v>
      </c>
      <c r="J58">
        <v>109.28</v>
      </c>
      <c r="K58">
        <v>35.840000000000003</v>
      </c>
      <c r="L58">
        <v>548148.47999999998</v>
      </c>
      <c r="M58">
        <v>179773.44</v>
      </c>
      <c r="N58">
        <v>368375.03999999998</v>
      </c>
    </row>
    <row r="59" spans="1:14" x14ac:dyDescent="0.3">
      <c r="A59" t="s">
        <v>14</v>
      </c>
      <c r="B59" t="s">
        <v>100</v>
      </c>
      <c r="C59" t="s">
        <v>102</v>
      </c>
      <c r="D59" t="s">
        <v>17</v>
      </c>
      <c r="E59" t="s">
        <v>24</v>
      </c>
      <c r="F59" t="s">
        <v>178</v>
      </c>
      <c r="G59">
        <v>466988742</v>
      </c>
      <c r="H59" t="s">
        <v>178</v>
      </c>
      <c r="I59">
        <v>1201</v>
      </c>
      <c r="J59">
        <v>81.73</v>
      </c>
      <c r="K59">
        <v>56.67</v>
      </c>
      <c r="L59">
        <v>98157.73</v>
      </c>
      <c r="M59">
        <v>68060.67</v>
      </c>
      <c r="N59">
        <v>30097.06</v>
      </c>
    </row>
    <row r="60" spans="1:14" x14ac:dyDescent="0.3">
      <c r="A60" t="s">
        <v>14</v>
      </c>
      <c r="B60" t="s">
        <v>86</v>
      </c>
      <c r="C60" t="s">
        <v>28</v>
      </c>
      <c r="D60" t="s">
        <v>23</v>
      </c>
      <c r="E60" t="s">
        <v>18</v>
      </c>
      <c r="F60" t="s">
        <v>179</v>
      </c>
      <c r="G60">
        <v>615080583</v>
      </c>
      <c r="H60" t="s">
        <v>180</v>
      </c>
      <c r="I60">
        <v>4868</v>
      </c>
      <c r="J60">
        <v>205.7</v>
      </c>
      <c r="K60">
        <v>117.11</v>
      </c>
      <c r="L60">
        <v>1001347.6</v>
      </c>
      <c r="M60">
        <v>570091.48</v>
      </c>
      <c r="N60">
        <v>431256.12</v>
      </c>
    </row>
    <row r="61" spans="1:14" x14ac:dyDescent="0.3">
      <c r="A61" t="s">
        <v>14</v>
      </c>
      <c r="B61" t="s">
        <v>181</v>
      </c>
      <c r="C61" t="s">
        <v>75</v>
      </c>
      <c r="D61" t="s">
        <v>23</v>
      </c>
      <c r="E61" t="s">
        <v>18</v>
      </c>
      <c r="F61" t="s">
        <v>182</v>
      </c>
      <c r="G61">
        <v>350977408</v>
      </c>
      <c r="H61" t="s">
        <v>76</v>
      </c>
      <c r="I61">
        <v>869</v>
      </c>
      <c r="J61">
        <v>437.2</v>
      </c>
      <c r="K61">
        <v>263.33</v>
      </c>
      <c r="L61">
        <v>379926.8</v>
      </c>
      <c r="M61">
        <v>228833.77</v>
      </c>
      <c r="N61">
        <v>151093.03</v>
      </c>
    </row>
    <row r="62" spans="1:14" x14ac:dyDescent="0.3">
      <c r="A62" t="s">
        <v>14</v>
      </c>
      <c r="B62" t="s">
        <v>183</v>
      </c>
      <c r="C62" t="s">
        <v>102</v>
      </c>
      <c r="D62" t="s">
        <v>17</v>
      </c>
      <c r="E62" t="s">
        <v>24</v>
      </c>
      <c r="F62" t="s">
        <v>184</v>
      </c>
      <c r="G62">
        <v>701298367</v>
      </c>
      <c r="H62" t="s">
        <v>139</v>
      </c>
      <c r="I62">
        <v>8626</v>
      </c>
      <c r="J62">
        <v>81.73</v>
      </c>
      <c r="K62">
        <v>56.67</v>
      </c>
      <c r="L62">
        <v>705002.98</v>
      </c>
      <c r="M62">
        <v>488835.42</v>
      </c>
      <c r="N62">
        <v>216167.56</v>
      </c>
    </row>
    <row r="63" spans="1:14" x14ac:dyDescent="0.3">
      <c r="A63" t="s">
        <v>14</v>
      </c>
      <c r="B63" t="s">
        <v>185</v>
      </c>
      <c r="C63" t="s">
        <v>102</v>
      </c>
      <c r="D63" t="s">
        <v>23</v>
      </c>
      <c r="E63" t="s">
        <v>18</v>
      </c>
      <c r="F63" t="s">
        <v>186</v>
      </c>
      <c r="G63">
        <v>309342658</v>
      </c>
      <c r="H63" t="s">
        <v>187</v>
      </c>
      <c r="I63">
        <v>222</v>
      </c>
      <c r="J63">
        <v>81.73</v>
      </c>
      <c r="K63">
        <v>56.67</v>
      </c>
      <c r="L63">
        <v>18144.060000000001</v>
      </c>
      <c r="M63">
        <v>12580.74</v>
      </c>
      <c r="N63">
        <v>5563.32</v>
      </c>
    </row>
    <row r="64" spans="1:14" x14ac:dyDescent="0.3">
      <c r="A64" t="s">
        <v>14</v>
      </c>
      <c r="B64" t="s">
        <v>115</v>
      </c>
      <c r="C64" t="s">
        <v>71</v>
      </c>
      <c r="D64" t="s">
        <v>17</v>
      </c>
      <c r="E64" t="s">
        <v>24</v>
      </c>
      <c r="F64" t="s">
        <v>188</v>
      </c>
      <c r="G64">
        <v>384128224</v>
      </c>
      <c r="H64" t="s">
        <v>189</v>
      </c>
      <c r="I64">
        <v>933</v>
      </c>
      <c r="J64">
        <v>668.27</v>
      </c>
      <c r="K64">
        <v>502.54</v>
      </c>
      <c r="L64">
        <v>623495.91</v>
      </c>
      <c r="M64">
        <v>468869.82</v>
      </c>
      <c r="N64">
        <v>154626.09</v>
      </c>
    </row>
    <row r="65" spans="1:14" x14ac:dyDescent="0.3">
      <c r="A65" t="s">
        <v>14</v>
      </c>
      <c r="B65" t="s">
        <v>67</v>
      </c>
      <c r="C65" t="s">
        <v>71</v>
      </c>
      <c r="D65" t="s">
        <v>17</v>
      </c>
      <c r="E65" t="s">
        <v>18</v>
      </c>
      <c r="F65" t="s">
        <v>190</v>
      </c>
      <c r="G65">
        <v>990774810</v>
      </c>
      <c r="H65" t="s">
        <v>191</v>
      </c>
      <c r="I65">
        <v>1138</v>
      </c>
      <c r="J65">
        <v>668.27</v>
      </c>
      <c r="K65">
        <v>502.54</v>
      </c>
      <c r="L65">
        <v>760491.26</v>
      </c>
      <c r="M65">
        <v>571890.52</v>
      </c>
      <c r="N65">
        <v>188600.74</v>
      </c>
    </row>
    <row r="66" spans="1:14" x14ac:dyDescent="0.3">
      <c r="A66" t="s">
        <v>14</v>
      </c>
      <c r="B66" t="s">
        <v>57</v>
      </c>
      <c r="C66" t="s">
        <v>46</v>
      </c>
      <c r="D66" t="s">
        <v>17</v>
      </c>
      <c r="E66" t="s">
        <v>18</v>
      </c>
      <c r="F66" t="s">
        <v>192</v>
      </c>
      <c r="G66">
        <v>394110763</v>
      </c>
      <c r="H66" t="s">
        <v>193</v>
      </c>
      <c r="I66">
        <v>4988</v>
      </c>
      <c r="J66">
        <v>154.06</v>
      </c>
      <c r="K66">
        <v>90.93</v>
      </c>
      <c r="L66">
        <v>768451.28</v>
      </c>
      <c r="M66">
        <v>453558.84</v>
      </c>
      <c r="N66">
        <v>314892.44</v>
      </c>
    </row>
    <row r="67" spans="1:14" x14ac:dyDescent="0.3">
      <c r="A67" t="s">
        <v>14</v>
      </c>
      <c r="B67" t="s">
        <v>132</v>
      </c>
      <c r="C67" t="s">
        <v>37</v>
      </c>
      <c r="D67" t="s">
        <v>23</v>
      </c>
      <c r="E67" t="s">
        <v>18</v>
      </c>
      <c r="F67" t="s">
        <v>194</v>
      </c>
      <c r="G67">
        <v>899868094</v>
      </c>
      <c r="H67" t="s">
        <v>195</v>
      </c>
      <c r="I67">
        <v>9821</v>
      </c>
      <c r="J67">
        <v>9.33</v>
      </c>
      <c r="K67">
        <v>6.92</v>
      </c>
      <c r="L67">
        <v>91629.93</v>
      </c>
      <c r="M67">
        <v>67961.320000000007</v>
      </c>
      <c r="N67">
        <v>23668.61</v>
      </c>
    </row>
    <row r="68" spans="1:14" x14ac:dyDescent="0.3">
      <c r="A68" t="s">
        <v>14</v>
      </c>
      <c r="B68" t="s">
        <v>196</v>
      </c>
      <c r="C68" t="s">
        <v>64</v>
      </c>
      <c r="D68" t="s">
        <v>17</v>
      </c>
      <c r="E68" t="s">
        <v>33</v>
      </c>
      <c r="F68" t="s">
        <v>197</v>
      </c>
      <c r="G68">
        <v>361311852</v>
      </c>
      <c r="H68" t="s">
        <v>198</v>
      </c>
      <c r="I68">
        <v>9061</v>
      </c>
      <c r="J68">
        <v>255.28</v>
      </c>
      <c r="K68">
        <v>159.41999999999999</v>
      </c>
      <c r="L68">
        <v>2313092.08</v>
      </c>
      <c r="M68">
        <v>1444504.62</v>
      </c>
      <c r="N68">
        <v>868587.46</v>
      </c>
    </row>
    <row r="69" spans="1:14" x14ac:dyDescent="0.3">
      <c r="A69" t="s">
        <v>14</v>
      </c>
      <c r="B69" t="s">
        <v>135</v>
      </c>
      <c r="C69" t="s">
        <v>16</v>
      </c>
      <c r="D69" t="s">
        <v>23</v>
      </c>
      <c r="E69" t="s">
        <v>33</v>
      </c>
      <c r="F69" t="s">
        <v>199</v>
      </c>
      <c r="G69">
        <v>930136287</v>
      </c>
      <c r="H69" t="s">
        <v>200</v>
      </c>
      <c r="I69">
        <v>6852</v>
      </c>
      <c r="J69">
        <v>47.45</v>
      </c>
      <c r="K69">
        <v>31.79</v>
      </c>
      <c r="L69">
        <v>325127.40000000002</v>
      </c>
      <c r="M69">
        <v>217825.08</v>
      </c>
      <c r="N69">
        <v>107302.32</v>
      </c>
    </row>
    <row r="70" spans="1:14" x14ac:dyDescent="0.3">
      <c r="A70" t="s">
        <v>14</v>
      </c>
      <c r="B70" t="s">
        <v>31</v>
      </c>
      <c r="C70" t="s">
        <v>75</v>
      </c>
      <c r="D70" t="s">
        <v>23</v>
      </c>
      <c r="E70" t="s">
        <v>18</v>
      </c>
      <c r="F70" t="s">
        <v>201</v>
      </c>
      <c r="G70">
        <v>179819428</v>
      </c>
      <c r="H70" t="s">
        <v>202</v>
      </c>
      <c r="I70">
        <v>1420</v>
      </c>
      <c r="J70">
        <v>437.2</v>
      </c>
      <c r="K70">
        <v>263.33</v>
      </c>
      <c r="L70">
        <v>620824</v>
      </c>
      <c r="M70">
        <v>373928.6</v>
      </c>
      <c r="N70">
        <v>246895.4</v>
      </c>
    </row>
    <row r="71" spans="1:14" x14ac:dyDescent="0.3">
      <c r="A71" t="s">
        <v>14</v>
      </c>
      <c r="B71" t="s">
        <v>21</v>
      </c>
      <c r="C71" t="s">
        <v>37</v>
      </c>
      <c r="D71" t="s">
        <v>23</v>
      </c>
      <c r="E71" t="s">
        <v>54</v>
      </c>
      <c r="F71" t="s">
        <v>203</v>
      </c>
      <c r="G71">
        <v>291305768</v>
      </c>
      <c r="H71" t="s">
        <v>204</v>
      </c>
      <c r="I71">
        <v>2705</v>
      </c>
      <c r="J71">
        <v>9.33</v>
      </c>
      <c r="K71">
        <v>6.92</v>
      </c>
      <c r="L71">
        <v>25237.65</v>
      </c>
      <c r="M71">
        <v>18718.599999999999</v>
      </c>
      <c r="N71">
        <v>6519.05</v>
      </c>
    </row>
    <row r="72" spans="1:14" x14ac:dyDescent="0.3">
      <c r="A72" t="s">
        <v>14</v>
      </c>
      <c r="B72" t="s">
        <v>70</v>
      </c>
      <c r="C72" t="s">
        <v>102</v>
      </c>
      <c r="D72" t="s">
        <v>23</v>
      </c>
      <c r="E72" t="s">
        <v>33</v>
      </c>
      <c r="F72" t="s">
        <v>205</v>
      </c>
      <c r="G72">
        <v>602357041</v>
      </c>
      <c r="H72" t="s">
        <v>206</v>
      </c>
      <c r="I72">
        <v>9689</v>
      </c>
      <c r="J72">
        <v>81.73</v>
      </c>
      <c r="K72">
        <v>56.67</v>
      </c>
      <c r="L72">
        <v>791881.97</v>
      </c>
      <c r="M72">
        <v>549075.63</v>
      </c>
      <c r="N72">
        <v>242806.34</v>
      </c>
    </row>
    <row r="73" spans="1:14" x14ac:dyDescent="0.3">
      <c r="A73" t="s">
        <v>14</v>
      </c>
      <c r="B73" t="s">
        <v>141</v>
      </c>
      <c r="C73" t="s">
        <v>58</v>
      </c>
      <c r="D73" t="s">
        <v>23</v>
      </c>
      <c r="E73" t="s">
        <v>54</v>
      </c>
      <c r="F73" t="s">
        <v>207</v>
      </c>
      <c r="G73">
        <v>653087270</v>
      </c>
      <c r="H73" t="s">
        <v>208</v>
      </c>
      <c r="I73">
        <v>1891</v>
      </c>
      <c r="J73">
        <v>152.58000000000001</v>
      </c>
      <c r="K73">
        <v>97.44</v>
      </c>
      <c r="L73">
        <v>288528.78000000003</v>
      </c>
      <c r="M73">
        <v>184259.04</v>
      </c>
      <c r="N73">
        <v>104269.74</v>
      </c>
    </row>
    <row r="74" spans="1:14" x14ac:dyDescent="0.3">
      <c r="A74" t="s">
        <v>14</v>
      </c>
      <c r="B74" t="s">
        <v>97</v>
      </c>
      <c r="C74" t="s">
        <v>37</v>
      </c>
      <c r="D74" t="s">
        <v>17</v>
      </c>
      <c r="E74" t="s">
        <v>24</v>
      </c>
      <c r="F74" t="s">
        <v>209</v>
      </c>
      <c r="G74">
        <v>812637078</v>
      </c>
      <c r="H74" t="s">
        <v>210</v>
      </c>
      <c r="I74">
        <v>6225</v>
      </c>
      <c r="J74">
        <v>9.33</v>
      </c>
      <c r="K74">
        <v>6.92</v>
      </c>
      <c r="L74">
        <v>58079.25</v>
      </c>
      <c r="M74">
        <v>43077</v>
      </c>
      <c r="N74">
        <v>15002.25</v>
      </c>
    </row>
    <row r="75" spans="1:14" x14ac:dyDescent="0.3">
      <c r="A75" t="s">
        <v>14</v>
      </c>
      <c r="B75" t="s">
        <v>181</v>
      </c>
      <c r="C75" t="s">
        <v>102</v>
      </c>
      <c r="D75" t="s">
        <v>23</v>
      </c>
      <c r="E75" t="s">
        <v>33</v>
      </c>
      <c r="F75" t="s">
        <v>145</v>
      </c>
      <c r="G75">
        <v>456192958</v>
      </c>
      <c r="H75" t="s">
        <v>211</v>
      </c>
      <c r="I75">
        <v>6489</v>
      </c>
      <c r="J75">
        <v>81.73</v>
      </c>
      <c r="K75">
        <v>56.67</v>
      </c>
      <c r="L75">
        <v>530345.97</v>
      </c>
      <c r="M75">
        <v>367731.63</v>
      </c>
      <c r="N75">
        <v>162614.34</v>
      </c>
    </row>
    <row r="76" spans="1:14" x14ac:dyDescent="0.3">
      <c r="A76" t="s">
        <v>14</v>
      </c>
      <c r="B76" t="s">
        <v>141</v>
      </c>
      <c r="C76" t="s">
        <v>50</v>
      </c>
      <c r="D76" t="s">
        <v>17</v>
      </c>
      <c r="E76" t="s">
        <v>54</v>
      </c>
      <c r="F76" t="s">
        <v>212</v>
      </c>
      <c r="G76">
        <v>986449801</v>
      </c>
      <c r="H76" t="s">
        <v>213</v>
      </c>
      <c r="I76">
        <v>1272</v>
      </c>
      <c r="J76">
        <v>421.89</v>
      </c>
      <c r="K76">
        <v>364.69</v>
      </c>
      <c r="L76">
        <v>536644.07999999996</v>
      </c>
      <c r="M76">
        <v>463885.68</v>
      </c>
      <c r="N76">
        <v>72758.399999999994</v>
      </c>
    </row>
    <row r="77" spans="1:14" x14ac:dyDescent="0.3">
      <c r="A77" t="s">
        <v>14</v>
      </c>
      <c r="B77" t="s">
        <v>169</v>
      </c>
      <c r="C77" t="s">
        <v>75</v>
      </c>
      <c r="D77" t="s">
        <v>23</v>
      </c>
      <c r="E77" t="s">
        <v>33</v>
      </c>
      <c r="F77" t="s">
        <v>214</v>
      </c>
      <c r="G77">
        <v>910610234</v>
      </c>
      <c r="H77" t="s">
        <v>215</v>
      </c>
      <c r="I77">
        <v>8659</v>
      </c>
      <c r="J77">
        <v>437.2</v>
      </c>
      <c r="K77">
        <v>263.33</v>
      </c>
      <c r="L77">
        <v>3785714.8</v>
      </c>
      <c r="M77">
        <v>2280174.4700000002</v>
      </c>
      <c r="N77">
        <v>1505540.33</v>
      </c>
    </row>
    <row r="78" spans="1:14" x14ac:dyDescent="0.3">
      <c r="A78" t="s">
        <v>14</v>
      </c>
      <c r="B78" t="s">
        <v>115</v>
      </c>
      <c r="C78" t="s">
        <v>50</v>
      </c>
      <c r="D78" t="s">
        <v>23</v>
      </c>
      <c r="E78" t="s">
        <v>24</v>
      </c>
      <c r="F78" t="s">
        <v>216</v>
      </c>
      <c r="G78">
        <v>696844613</v>
      </c>
      <c r="H78" t="s">
        <v>217</v>
      </c>
      <c r="I78">
        <v>661</v>
      </c>
      <c r="J78">
        <v>421.89</v>
      </c>
      <c r="K78">
        <v>364.69</v>
      </c>
      <c r="L78">
        <v>278869.28999999998</v>
      </c>
      <c r="M78">
        <v>241060.09</v>
      </c>
      <c r="N78">
        <v>37809.199999999997</v>
      </c>
    </row>
    <row r="79" spans="1:14" x14ac:dyDescent="0.3">
      <c r="A79" t="s">
        <v>14</v>
      </c>
      <c r="B79" t="s">
        <v>15</v>
      </c>
      <c r="C79" t="s">
        <v>102</v>
      </c>
      <c r="D79" t="s">
        <v>23</v>
      </c>
      <c r="E79" t="s">
        <v>24</v>
      </c>
      <c r="F79" t="s">
        <v>218</v>
      </c>
      <c r="G79">
        <v>353415429</v>
      </c>
      <c r="H79" t="s">
        <v>219</v>
      </c>
      <c r="I79">
        <v>2334</v>
      </c>
      <c r="J79">
        <v>81.73</v>
      </c>
      <c r="K79">
        <v>56.67</v>
      </c>
      <c r="L79">
        <v>190757.82</v>
      </c>
      <c r="M79">
        <v>132267.78</v>
      </c>
      <c r="N79">
        <v>58490.04</v>
      </c>
    </row>
    <row r="80" spans="1:14" x14ac:dyDescent="0.3">
      <c r="A80" t="s">
        <v>14</v>
      </c>
      <c r="B80" t="s">
        <v>220</v>
      </c>
      <c r="C80" t="s">
        <v>28</v>
      </c>
      <c r="D80" t="s">
        <v>23</v>
      </c>
      <c r="E80" t="s">
        <v>54</v>
      </c>
      <c r="F80" t="s">
        <v>221</v>
      </c>
      <c r="G80">
        <v>696197879</v>
      </c>
      <c r="H80" t="s">
        <v>222</v>
      </c>
      <c r="I80">
        <v>9278</v>
      </c>
      <c r="J80">
        <v>205.7</v>
      </c>
      <c r="K80">
        <v>117.11</v>
      </c>
      <c r="L80">
        <v>1908484.6</v>
      </c>
      <c r="M80">
        <v>1086546.58</v>
      </c>
      <c r="N80">
        <v>821938.02</v>
      </c>
    </row>
    <row r="81" spans="1:14" x14ac:dyDescent="0.3">
      <c r="A81" t="s">
        <v>14</v>
      </c>
      <c r="B81" t="s">
        <v>223</v>
      </c>
      <c r="C81" t="s">
        <v>75</v>
      </c>
      <c r="D81" t="s">
        <v>23</v>
      </c>
      <c r="E81" t="s">
        <v>18</v>
      </c>
      <c r="F81" t="s">
        <v>224</v>
      </c>
      <c r="G81">
        <v>907349526</v>
      </c>
      <c r="H81" t="s">
        <v>225</v>
      </c>
      <c r="I81">
        <v>3743</v>
      </c>
      <c r="J81">
        <v>437.2</v>
      </c>
      <c r="K81">
        <v>263.33</v>
      </c>
      <c r="L81">
        <v>1636439.6</v>
      </c>
      <c r="M81">
        <v>985644.19</v>
      </c>
      <c r="N81">
        <v>650795.41</v>
      </c>
    </row>
    <row r="82" spans="1:14" x14ac:dyDescent="0.3">
      <c r="A82" t="s">
        <v>14</v>
      </c>
      <c r="B82" t="s">
        <v>89</v>
      </c>
      <c r="C82" t="s">
        <v>102</v>
      </c>
      <c r="D82" t="s">
        <v>17</v>
      </c>
      <c r="E82" t="s">
        <v>18</v>
      </c>
      <c r="F82" t="s">
        <v>226</v>
      </c>
      <c r="G82">
        <v>386440074</v>
      </c>
      <c r="H82" t="s">
        <v>227</v>
      </c>
      <c r="I82">
        <v>5060</v>
      </c>
      <c r="J82">
        <v>81.73</v>
      </c>
      <c r="K82">
        <v>56.67</v>
      </c>
      <c r="L82">
        <v>413553.8</v>
      </c>
      <c r="M82">
        <v>286750.2</v>
      </c>
      <c r="N82">
        <v>126803.6</v>
      </c>
    </row>
    <row r="83" spans="1:14" x14ac:dyDescent="0.3">
      <c r="A83" t="s">
        <v>14</v>
      </c>
      <c r="B83" t="s">
        <v>53</v>
      </c>
      <c r="C83" t="s">
        <v>46</v>
      </c>
      <c r="D83" t="s">
        <v>23</v>
      </c>
      <c r="E83" t="s">
        <v>54</v>
      </c>
      <c r="F83" t="s">
        <v>228</v>
      </c>
      <c r="G83">
        <v>800352561</v>
      </c>
      <c r="H83" t="s">
        <v>229</v>
      </c>
      <c r="I83">
        <v>963</v>
      </c>
      <c r="J83">
        <v>154.06</v>
      </c>
      <c r="K83">
        <v>90.93</v>
      </c>
      <c r="L83">
        <v>148359.78</v>
      </c>
      <c r="M83">
        <v>87565.59</v>
      </c>
      <c r="N83">
        <v>60794.19</v>
      </c>
    </row>
    <row r="84" spans="1:14" x14ac:dyDescent="0.3">
      <c r="A84" t="s">
        <v>14</v>
      </c>
      <c r="B84" t="s">
        <v>89</v>
      </c>
      <c r="C84" t="s">
        <v>16</v>
      </c>
      <c r="D84" t="s">
        <v>17</v>
      </c>
      <c r="E84" t="s">
        <v>18</v>
      </c>
      <c r="F84" t="s">
        <v>230</v>
      </c>
      <c r="G84">
        <v>714165675</v>
      </c>
      <c r="H84" t="s">
        <v>231</v>
      </c>
      <c r="I84">
        <v>6348</v>
      </c>
      <c r="J84">
        <v>47.45</v>
      </c>
      <c r="K84">
        <v>31.79</v>
      </c>
      <c r="L84">
        <v>301212.59999999998</v>
      </c>
      <c r="M84">
        <v>201802.92</v>
      </c>
      <c r="N84">
        <v>99409.68</v>
      </c>
    </row>
    <row r="85" spans="1:14" x14ac:dyDescent="0.3">
      <c r="A85" t="s">
        <v>14</v>
      </c>
      <c r="B85" t="s">
        <v>232</v>
      </c>
      <c r="C85" t="s">
        <v>16</v>
      </c>
      <c r="D85" t="s">
        <v>17</v>
      </c>
      <c r="E85" t="s">
        <v>33</v>
      </c>
      <c r="F85" t="s">
        <v>233</v>
      </c>
      <c r="G85">
        <v>189924275</v>
      </c>
      <c r="H85" t="s">
        <v>131</v>
      </c>
      <c r="I85">
        <v>1668</v>
      </c>
      <c r="J85">
        <v>47.45</v>
      </c>
      <c r="K85">
        <v>31.79</v>
      </c>
      <c r="L85">
        <v>79146.600000000006</v>
      </c>
      <c r="M85">
        <v>53025.72</v>
      </c>
      <c r="N85">
        <v>26120.880000000001</v>
      </c>
    </row>
    <row r="86" spans="1:14" x14ac:dyDescent="0.3">
      <c r="A86" t="s">
        <v>14</v>
      </c>
      <c r="B86" t="s">
        <v>89</v>
      </c>
      <c r="C86" t="s">
        <v>50</v>
      </c>
      <c r="D86" t="s">
        <v>23</v>
      </c>
      <c r="E86" t="s">
        <v>54</v>
      </c>
      <c r="F86" t="s">
        <v>234</v>
      </c>
      <c r="G86">
        <v>546081721</v>
      </c>
      <c r="H86" t="s">
        <v>235</v>
      </c>
      <c r="I86">
        <v>6571</v>
      </c>
      <c r="J86">
        <v>421.89</v>
      </c>
      <c r="K86">
        <v>364.69</v>
      </c>
      <c r="L86">
        <v>2772239.19</v>
      </c>
      <c r="M86">
        <v>2396377.9900000002</v>
      </c>
      <c r="N86">
        <v>375861.2</v>
      </c>
    </row>
    <row r="87" spans="1:14" x14ac:dyDescent="0.3">
      <c r="A87" t="s">
        <v>14</v>
      </c>
      <c r="B87" t="s">
        <v>49</v>
      </c>
      <c r="C87" t="s">
        <v>64</v>
      </c>
      <c r="D87" t="s">
        <v>23</v>
      </c>
      <c r="E87" t="s">
        <v>18</v>
      </c>
      <c r="F87" t="s">
        <v>236</v>
      </c>
      <c r="G87">
        <v>979073941</v>
      </c>
      <c r="H87" t="s">
        <v>237</v>
      </c>
      <c r="I87">
        <v>8591</v>
      </c>
      <c r="J87">
        <v>255.28</v>
      </c>
      <c r="K87">
        <v>159.41999999999999</v>
      </c>
      <c r="L87">
        <v>2193110.48</v>
      </c>
      <c r="M87">
        <v>1369577.22</v>
      </c>
      <c r="N87">
        <v>823533.26</v>
      </c>
    </row>
    <row r="88" spans="1:14" x14ac:dyDescent="0.3">
      <c r="A88" t="s">
        <v>14</v>
      </c>
      <c r="B88" t="s">
        <v>21</v>
      </c>
      <c r="C88" t="s">
        <v>102</v>
      </c>
      <c r="D88" t="s">
        <v>17</v>
      </c>
      <c r="E88" t="s">
        <v>33</v>
      </c>
      <c r="F88" t="s">
        <v>238</v>
      </c>
      <c r="G88">
        <v>396718728</v>
      </c>
      <c r="H88" t="s">
        <v>239</v>
      </c>
      <c r="I88">
        <v>6742</v>
      </c>
      <c r="J88">
        <v>81.73</v>
      </c>
      <c r="K88">
        <v>56.67</v>
      </c>
      <c r="L88">
        <v>551023.66</v>
      </c>
      <c r="M88">
        <v>382069.14</v>
      </c>
      <c r="N88">
        <v>168954.52</v>
      </c>
    </row>
    <row r="89" spans="1:14" x14ac:dyDescent="0.3">
      <c r="A89" t="s">
        <v>14</v>
      </c>
      <c r="B89" t="s">
        <v>135</v>
      </c>
      <c r="C89" t="s">
        <v>16</v>
      </c>
      <c r="D89" t="s">
        <v>17</v>
      </c>
      <c r="E89" t="s">
        <v>24</v>
      </c>
      <c r="F89" t="s">
        <v>240</v>
      </c>
      <c r="G89">
        <v>948075759</v>
      </c>
      <c r="H89" t="s">
        <v>241</v>
      </c>
      <c r="I89">
        <v>5540</v>
      </c>
      <c r="J89">
        <v>47.45</v>
      </c>
      <c r="K89">
        <v>31.79</v>
      </c>
      <c r="L89">
        <v>262873</v>
      </c>
      <c r="M89">
        <v>176116.6</v>
      </c>
      <c r="N89">
        <v>86756.4</v>
      </c>
    </row>
    <row r="90" spans="1:14" x14ac:dyDescent="0.3">
      <c r="A90" t="s">
        <v>14</v>
      </c>
      <c r="B90" t="s">
        <v>169</v>
      </c>
      <c r="C90" t="s">
        <v>28</v>
      </c>
      <c r="D90" t="s">
        <v>17</v>
      </c>
      <c r="E90" t="s">
        <v>33</v>
      </c>
      <c r="F90" t="s">
        <v>242</v>
      </c>
      <c r="G90">
        <v>737736070</v>
      </c>
      <c r="H90" t="s">
        <v>143</v>
      </c>
      <c r="I90">
        <v>1352</v>
      </c>
      <c r="J90">
        <v>205.7</v>
      </c>
      <c r="K90">
        <v>117.11</v>
      </c>
      <c r="L90">
        <v>278106.40000000002</v>
      </c>
      <c r="M90">
        <v>158332.72</v>
      </c>
      <c r="N90">
        <v>119773.68</v>
      </c>
    </row>
    <row r="91" spans="1:14" x14ac:dyDescent="0.3">
      <c r="A91" t="s">
        <v>14</v>
      </c>
      <c r="B91" t="s">
        <v>243</v>
      </c>
      <c r="C91" t="s">
        <v>71</v>
      </c>
      <c r="D91" t="s">
        <v>17</v>
      </c>
      <c r="E91" t="s">
        <v>33</v>
      </c>
      <c r="F91" t="s">
        <v>244</v>
      </c>
      <c r="G91">
        <v>585362994</v>
      </c>
      <c r="H91" t="s">
        <v>245</v>
      </c>
      <c r="I91">
        <v>773</v>
      </c>
      <c r="J91">
        <v>668.27</v>
      </c>
      <c r="K91">
        <v>502.54</v>
      </c>
      <c r="L91">
        <v>516572.71</v>
      </c>
      <c r="M91">
        <v>388463.42</v>
      </c>
      <c r="N91">
        <v>128109.29</v>
      </c>
    </row>
    <row r="92" spans="1:14" x14ac:dyDescent="0.3">
      <c r="A92" t="s">
        <v>14</v>
      </c>
      <c r="B92" t="s">
        <v>15</v>
      </c>
      <c r="C92" t="s">
        <v>64</v>
      </c>
      <c r="D92" t="s">
        <v>17</v>
      </c>
      <c r="E92" t="s">
        <v>54</v>
      </c>
      <c r="F92" t="s">
        <v>246</v>
      </c>
      <c r="G92">
        <v>850872075</v>
      </c>
      <c r="H92" t="s">
        <v>247</v>
      </c>
      <c r="I92">
        <v>810</v>
      </c>
      <c r="J92">
        <v>255.28</v>
      </c>
      <c r="K92">
        <v>159.41999999999999</v>
      </c>
      <c r="L92">
        <v>206776.8</v>
      </c>
      <c r="M92">
        <v>129130.2</v>
      </c>
      <c r="N92">
        <v>77646.600000000006</v>
      </c>
    </row>
    <row r="93" spans="1:14" x14ac:dyDescent="0.3">
      <c r="A93" t="s">
        <v>14</v>
      </c>
      <c r="B93" t="s">
        <v>21</v>
      </c>
      <c r="C93" t="s">
        <v>32</v>
      </c>
      <c r="D93" t="s">
        <v>17</v>
      </c>
      <c r="E93" t="s">
        <v>18</v>
      </c>
      <c r="F93" t="s">
        <v>248</v>
      </c>
      <c r="G93">
        <v>575583016</v>
      </c>
      <c r="H93" t="s">
        <v>249</v>
      </c>
      <c r="I93">
        <v>6660</v>
      </c>
      <c r="J93">
        <v>651.21</v>
      </c>
      <c r="K93">
        <v>524.96</v>
      </c>
      <c r="L93">
        <v>4337058.5999999996</v>
      </c>
      <c r="M93">
        <v>3496233.6</v>
      </c>
      <c r="N93">
        <v>840825</v>
      </c>
    </row>
    <row r="94" spans="1:14" x14ac:dyDescent="0.3">
      <c r="A94" t="s">
        <v>14</v>
      </c>
      <c r="B94" t="s">
        <v>132</v>
      </c>
      <c r="C94" t="s">
        <v>50</v>
      </c>
      <c r="D94" t="s">
        <v>17</v>
      </c>
      <c r="E94" t="s">
        <v>54</v>
      </c>
      <c r="F94" t="s">
        <v>118</v>
      </c>
      <c r="G94">
        <v>515773189</v>
      </c>
      <c r="H94" t="s">
        <v>250</v>
      </c>
      <c r="I94">
        <v>7603</v>
      </c>
      <c r="J94">
        <v>421.89</v>
      </c>
      <c r="K94">
        <v>364.69</v>
      </c>
      <c r="L94">
        <v>3207629.67</v>
      </c>
      <c r="M94">
        <v>2772738.07</v>
      </c>
      <c r="N94">
        <v>434891.6</v>
      </c>
    </row>
    <row r="95" spans="1:14" x14ac:dyDescent="0.3">
      <c r="A95" t="s">
        <v>14</v>
      </c>
      <c r="B95" t="s">
        <v>110</v>
      </c>
      <c r="C95" t="s">
        <v>102</v>
      </c>
      <c r="D95" t="s">
        <v>23</v>
      </c>
      <c r="E95" t="s">
        <v>54</v>
      </c>
      <c r="F95" t="s">
        <v>251</v>
      </c>
      <c r="G95">
        <v>351247346</v>
      </c>
      <c r="H95" t="s">
        <v>252</v>
      </c>
      <c r="I95">
        <v>750</v>
      </c>
      <c r="J95">
        <v>81.73</v>
      </c>
      <c r="K95">
        <v>56.67</v>
      </c>
      <c r="L95">
        <v>61297.5</v>
      </c>
      <c r="M95">
        <v>42502.5</v>
      </c>
      <c r="N95">
        <v>18795</v>
      </c>
    </row>
    <row r="96" spans="1:14" x14ac:dyDescent="0.3">
      <c r="A96" t="s">
        <v>14</v>
      </c>
      <c r="B96" t="s">
        <v>86</v>
      </c>
      <c r="C96" t="s">
        <v>16</v>
      </c>
      <c r="D96" t="s">
        <v>17</v>
      </c>
      <c r="E96" t="s">
        <v>54</v>
      </c>
      <c r="F96" t="s">
        <v>253</v>
      </c>
      <c r="G96">
        <v>554721438</v>
      </c>
      <c r="H96" t="s">
        <v>254</v>
      </c>
      <c r="I96">
        <v>3256</v>
      </c>
      <c r="J96">
        <v>47.45</v>
      </c>
      <c r="K96">
        <v>31.79</v>
      </c>
      <c r="L96">
        <v>154497.20000000001</v>
      </c>
      <c r="M96">
        <v>103508.24</v>
      </c>
      <c r="N96">
        <v>50988.959999999999</v>
      </c>
    </row>
    <row r="97" spans="1:14" x14ac:dyDescent="0.3">
      <c r="A97" t="s">
        <v>14</v>
      </c>
      <c r="B97" t="s">
        <v>196</v>
      </c>
      <c r="C97" t="s">
        <v>28</v>
      </c>
      <c r="D97" t="s">
        <v>17</v>
      </c>
      <c r="E97" t="s">
        <v>18</v>
      </c>
      <c r="F97" t="s">
        <v>255</v>
      </c>
      <c r="G97">
        <v>398333632</v>
      </c>
      <c r="H97" t="s">
        <v>256</v>
      </c>
      <c r="I97">
        <v>4629</v>
      </c>
      <c r="J97">
        <v>205.7</v>
      </c>
      <c r="K97">
        <v>117.11</v>
      </c>
      <c r="L97">
        <v>952185.3</v>
      </c>
      <c r="M97">
        <v>542102.18999999994</v>
      </c>
      <c r="N97">
        <v>410083.11</v>
      </c>
    </row>
    <row r="98" spans="1:14" x14ac:dyDescent="0.3">
      <c r="A98" t="s">
        <v>14</v>
      </c>
      <c r="B98" t="s">
        <v>257</v>
      </c>
      <c r="C98" t="s">
        <v>16</v>
      </c>
      <c r="D98" t="s">
        <v>23</v>
      </c>
      <c r="E98" t="s">
        <v>18</v>
      </c>
      <c r="F98" t="s">
        <v>258</v>
      </c>
      <c r="G98">
        <v>370484149</v>
      </c>
      <c r="H98" t="s">
        <v>259</v>
      </c>
      <c r="I98">
        <v>3348</v>
      </c>
      <c r="J98">
        <v>47.45</v>
      </c>
      <c r="K98">
        <v>31.79</v>
      </c>
      <c r="L98">
        <v>158862.6</v>
      </c>
      <c r="M98">
        <v>106432.92</v>
      </c>
      <c r="N98">
        <v>52429.68</v>
      </c>
    </row>
    <row r="99" spans="1:14" x14ac:dyDescent="0.3">
      <c r="A99" t="s">
        <v>14</v>
      </c>
      <c r="B99" t="s">
        <v>127</v>
      </c>
      <c r="C99" t="s">
        <v>64</v>
      </c>
      <c r="D99" t="s">
        <v>17</v>
      </c>
      <c r="E99" t="s">
        <v>54</v>
      </c>
      <c r="F99" t="s">
        <v>260</v>
      </c>
      <c r="G99">
        <v>306839406</v>
      </c>
      <c r="H99" t="s">
        <v>261</v>
      </c>
      <c r="I99">
        <v>9454</v>
      </c>
      <c r="J99">
        <v>255.28</v>
      </c>
      <c r="K99">
        <v>159.41999999999999</v>
      </c>
      <c r="L99">
        <v>2413417.12</v>
      </c>
      <c r="M99">
        <v>1507156.68</v>
      </c>
      <c r="N99">
        <v>906260.44</v>
      </c>
    </row>
    <row r="100" spans="1:14" x14ac:dyDescent="0.3">
      <c r="A100" t="s">
        <v>14</v>
      </c>
      <c r="B100" t="s">
        <v>36</v>
      </c>
      <c r="C100" t="s">
        <v>16</v>
      </c>
      <c r="D100" t="s">
        <v>17</v>
      </c>
      <c r="E100" t="s">
        <v>18</v>
      </c>
      <c r="F100" t="s">
        <v>262</v>
      </c>
      <c r="G100">
        <v>653548610</v>
      </c>
      <c r="H100" t="s">
        <v>263</v>
      </c>
      <c r="I100">
        <v>8412</v>
      </c>
      <c r="J100">
        <v>47.45</v>
      </c>
      <c r="K100">
        <v>31.79</v>
      </c>
      <c r="L100">
        <v>399149.4</v>
      </c>
      <c r="M100">
        <v>267417.48</v>
      </c>
      <c r="N100">
        <v>131731.92000000001</v>
      </c>
    </row>
    <row r="101" spans="1:14" x14ac:dyDescent="0.3">
      <c r="A101" t="s">
        <v>14</v>
      </c>
      <c r="B101" t="s">
        <v>264</v>
      </c>
      <c r="C101" t="s">
        <v>46</v>
      </c>
      <c r="D101" t="s">
        <v>23</v>
      </c>
      <c r="E101" t="s">
        <v>33</v>
      </c>
      <c r="F101" t="s">
        <v>265</v>
      </c>
      <c r="G101">
        <v>413078916</v>
      </c>
      <c r="H101" t="s">
        <v>266</v>
      </c>
      <c r="I101">
        <v>8086</v>
      </c>
      <c r="J101">
        <v>154.06</v>
      </c>
      <c r="K101">
        <v>90.93</v>
      </c>
      <c r="L101">
        <v>1245729.1599999999</v>
      </c>
      <c r="M101">
        <v>735259.98</v>
      </c>
      <c r="N101">
        <v>510469.18</v>
      </c>
    </row>
    <row r="102" spans="1:14" x14ac:dyDescent="0.3">
      <c r="A102" t="s">
        <v>14</v>
      </c>
      <c r="B102" t="s">
        <v>185</v>
      </c>
      <c r="C102" t="s">
        <v>58</v>
      </c>
      <c r="D102" t="s">
        <v>23</v>
      </c>
      <c r="E102" t="s">
        <v>24</v>
      </c>
      <c r="F102" t="s">
        <v>267</v>
      </c>
      <c r="G102">
        <v>307721745</v>
      </c>
      <c r="H102" t="s">
        <v>268</v>
      </c>
      <c r="I102">
        <v>558</v>
      </c>
      <c r="J102">
        <v>152.58000000000001</v>
      </c>
      <c r="K102">
        <v>97.44</v>
      </c>
      <c r="L102">
        <v>85139.64</v>
      </c>
      <c r="M102">
        <v>54371.519999999997</v>
      </c>
      <c r="N102">
        <v>30768.12</v>
      </c>
    </row>
    <row r="103" spans="1:14" x14ac:dyDescent="0.3">
      <c r="A103" t="s">
        <v>14</v>
      </c>
      <c r="B103" t="s">
        <v>132</v>
      </c>
      <c r="C103" t="s">
        <v>32</v>
      </c>
      <c r="D103" t="s">
        <v>23</v>
      </c>
      <c r="E103" t="s">
        <v>18</v>
      </c>
      <c r="F103" t="s">
        <v>269</v>
      </c>
      <c r="G103">
        <v>374663245</v>
      </c>
      <c r="H103" t="s">
        <v>270</v>
      </c>
      <c r="I103">
        <v>35</v>
      </c>
      <c r="J103">
        <v>651.21</v>
      </c>
      <c r="K103">
        <v>524.96</v>
      </c>
      <c r="L103">
        <v>22792.35</v>
      </c>
      <c r="M103">
        <v>18373.599999999999</v>
      </c>
      <c r="N103">
        <v>4418.75</v>
      </c>
    </row>
    <row r="104" spans="1:14" x14ac:dyDescent="0.3">
      <c r="A104" t="s">
        <v>14</v>
      </c>
      <c r="B104" t="s">
        <v>271</v>
      </c>
      <c r="C104" t="s">
        <v>46</v>
      </c>
      <c r="D104" t="s">
        <v>17</v>
      </c>
      <c r="E104" t="s">
        <v>18</v>
      </c>
      <c r="F104" t="s">
        <v>272</v>
      </c>
      <c r="G104">
        <v>901670968</v>
      </c>
      <c r="H104" t="s">
        <v>273</v>
      </c>
      <c r="I104">
        <v>3331</v>
      </c>
      <c r="J104">
        <v>154.06</v>
      </c>
      <c r="K104">
        <v>90.93</v>
      </c>
      <c r="L104">
        <v>513173.86</v>
      </c>
      <c r="M104">
        <v>302887.83</v>
      </c>
      <c r="N104">
        <v>210286.03</v>
      </c>
    </row>
    <row r="105" spans="1:14" x14ac:dyDescent="0.3">
      <c r="A105" t="s">
        <v>14</v>
      </c>
      <c r="B105" t="s">
        <v>40</v>
      </c>
      <c r="C105" t="s">
        <v>75</v>
      </c>
      <c r="D105" t="s">
        <v>17</v>
      </c>
      <c r="E105" t="s">
        <v>33</v>
      </c>
      <c r="F105" t="s">
        <v>274</v>
      </c>
      <c r="G105">
        <v>353320157</v>
      </c>
      <c r="H105" t="s">
        <v>275</v>
      </c>
      <c r="I105">
        <v>4141</v>
      </c>
      <c r="J105">
        <v>437.2</v>
      </c>
      <c r="K105">
        <v>263.33</v>
      </c>
      <c r="L105">
        <v>1810445.2</v>
      </c>
      <c r="M105">
        <v>1090449.53</v>
      </c>
      <c r="N105">
        <v>719995.67</v>
      </c>
    </row>
    <row r="106" spans="1:14" x14ac:dyDescent="0.3">
      <c r="A106" t="s">
        <v>14</v>
      </c>
      <c r="B106" t="s">
        <v>115</v>
      </c>
      <c r="C106" t="s">
        <v>28</v>
      </c>
      <c r="D106" t="s">
        <v>17</v>
      </c>
      <c r="E106" t="s">
        <v>33</v>
      </c>
      <c r="F106" t="s">
        <v>276</v>
      </c>
      <c r="G106">
        <v>645701968</v>
      </c>
      <c r="H106" t="s">
        <v>277</v>
      </c>
      <c r="I106">
        <v>6416</v>
      </c>
      <c r="J106">
        <v>205.7</v>
      </c>
      <c r="K106">
        <v>117.11</v>
      </c>
      <c r="L106">
        <v>1319771.2</v>
      </c>
      <c r="M106">
        <v>751377.76</v>
      </c>
      <c r="N106">
        <v>568393.43999999994</v>
      </c>
    </row>
    <row r="107" spans="1:14" x14ac:dyDescent="0.3">
      <c r="A107" t="s">
        <v>14</v>
      </c>
      <c r="B107" t="s">
        <v>89</v>
      </c>
      <c r="C107" t="s">
        <v>32</v>
      </c>
      <c r="D107" t="s">
        <v>23</v>
      </c>
      <c r="E107" t="s">
        <v>54</v>
      </c>
      <c r="F107" t="s">
        <v>278</v>
      </c>
      <c r="G107">
        <v>148894631</v>
      </c>
      <c r="H107" t="s">
        <v>279</v>
      </c>
      <c r="I107">
        <v>85</v>
      </c>
      <c r="J107">
        <v>651.21</v>
      </c>
      <c r="K107">
        <v>524.96</v>
      </c>
      <c r="L107">
        <v>55352.85</v>
      </c>
      <c r="M107">
        <v>44621.599999999999</v>
      </c>
      <c r="N107">
        <v>10731.25</v>
      </c>
    </row>
    <row r="108" spans="1:14" x14ac:dyDescent="0.3">
      <c r="A108" t="s">
        <v>14</v>
      </c>
      <c r="B108" t="s">
        <v>169</v>
      </c>
      <c r="C108" t="s">
        <v>64</v>
      </c>
      <c r="D108" t="s">
        <v>23</v>
      </c>
      <c r="E108" t="s">
        <v>33</v>
      </c>
      <c r="F108" t="s">
        <v>280</v>
      </c>
      <c r="G108">
        <v>443551385</v>
      </c>
      <c r="H108" t="s">
        <v>281</v>
      </c>
      <c r="I108">
        <v>5566</v>
      </c>
      <c r="J108">
        <v>255.28</v>
      </c>
      <c r="K108">
        <v>159.41999999999999</v>
      </c>
      <c r="L108">
        <v>1420888.48</v>
      </c>
      <c r="M108">
        <v>887331.72</v>
      </c>
      <c r="N108">
        <v>533556.76</v>
      </c>
    </row>
    <row r="109" spans="1:14" x14ac:dyDescent="0.3">
      <c r="A109" t="s">
        <v>14</v>
      </c>
      <c r="B109" t="s">
        <v>257</v>
      </c>
      <c r="C109" t="s">
        <v>22</v>
      </c>
      <c r="D109" t="s">
        <v>17</v>
      </c>
      <c r="E109" t="s">
        <v>54</v>
      </c>
      <c r="F109" t="s">
        <v>101</v>
      </c>
      <c r="G109">
        <v>508014523</v>
      </c>
      <c r="H109" t="s">
        <v>282</v>
      </c>
      <c r="I109">
        <v>1642</v>
      </c>
      <c r="J109">
        <v>109.28</v>
      </c>
      <c r="K109">
        <v>35.840000000000003</v>
      </c>
      <c r="L109">
        <v>179437.76</v>
      </c>
      <c r="M109">
        <v>58849.279999999999</v>
      </c>
      <c r="N109">
        <v>120588.48</v>
      </c>
    </row>
    <row r="110" spans="1:14" x14ac:dyDescent="0.3">
      <c r="A110" t="s">
        <v>14</v>
      </c>
      <c r="B110" t="s">
        <v>138</v>
      </c>
      <c r="C110" t="s">
        <v>32</v>
      </c>
      <c r="D110" t="s">
        <v>23</v>
      </c>
      <c r="E110" t="s">
        <v>18</v>
      </c>
      <c r="F110" t="s">
        <v>283</v>
      </c>
      <c r="G110">
        <v>987767302</v>
      </c>
      <c r="H110" t="s">
        <v>284</v>
      </c>
      <c r="I110">
        <v>1150</v>
      </c>
      <c r="J110">
        <v>651.21</v>
      </c>
      <c r="K110">
        <v>524.96</v>
      </c>
      <c r="L110">
        <v>748891.5</v>
      </c>
      <c r="M110">
        <v>603704</v>
      </c>
      <c r="N110">
        <v>145187.5</v>
      </c>
    </row>
    <row r="111" spans="1:14" x14ac:dyDescent="0.3">
      <c r="A111" t="s">
        <v>14</v>
      </c>
      <c r="B111" t="s">
        <v>232</v>
      </c>
      <c r="C111" t="s">
        <v>64</v>
      </c>
      <c r="D111" t="s">
        <v>17</v>
      </c>
      <c r="E111" t="s">
        <v>54</v>
      </c>
      <c r="F111" t="s">
        <v>285</v>
      </c>
      <c r="G111">
        <v>103832662</v>
      </c>
      <c r="H111" t="s">
        <v>286</v>
      </c>
      <c r="I111">
        <v>5247</v>
      </c>
      <c r="J111">
        <v>255.28</v>
      </c>
      <c r="K111">
        <v>159.41999999999999</v>
      </c>
      <c r="L111">
        <v>1339454.1599999999</v>
      </c>
      <c r="M111">
        <v>836476.74</v>
      </c>
      <c r="N111">
        <v>502977.42</v>
      </c>
    </row>
    <row r="112" spans="1:14" x14ac:dyDescent="0.3">
      <c r="A112" t="s">
        <v>14</v>
      </c>
      <c r="B112" t="s">
        <v>100</v>
      </c>
      <c r="C112" t="s">
        <v>102</v>
      </c>
      <c r="D112" t="s">
        <v>23</v>
      </c>
      <c r="E112" t="s">
        <v>54</v>
      </c>
      <c r="F112" t="s">
        <v>287</v>
      </c>
      <c r="G112">
        <v>445708739</v>
      </c>
      <c r="H112" t="s">
        <v>288</v>
      </c>
      <c r="I112">
        <v>3975</v>
      </c>
      <c r="J112">
        <v>81.73</v>
      </c>
      <c r="K112">
        <v>56.67</v>
      </c>
      <c r="L112">
        <v>324876.75</v>
      </c>
      <c r="M112">
        <v>225263.25</v>
      </c>
      <c r="N112">
        <v>99613.5</v>
      </c>
    </row>
    <row r="113" spans="1:14" x14ac:dyDescent="0.3">
      <c r="A113" t="s">
        <v>14</v>
      </c>
      <c r="B113" t="s">
        <v>181</v>
      </c>
      <c r="C113" t="s">
        <v>16</v>
      </c>
      <c r="D113" t="s">
        <v>17</v>
      </c>
      <c r="E113" t="s">
        <v>24</v>
      </c>
      <c r="F113" t="s">
        <v>78</v>
      </c>
      <c r="G113">
        <v>354655683</v>
      </c>
      <c r="H113" t="s">
        <v>289</v>
      </c>
      <c r="I113">
        <v>9353</v>
      </c>
      <c r="J113">
        <v>47.45</v>
      </c>
      <c r="K113">
        <v>31.79</v>
      </c>
      <c r="L113">
        <v>443799.85</v>
      </c>
      <c r="M113">
        <v>297331.87</v>
      </c>
      <c r="N113">
        <v>146467.98000000001</v>
      </c>
    </row>
    <row r="114" spans="1:14" x14ac:dyDescent="0.3">
      <c r="A114" t="s">
        <v>14</v>
      </c>
      <c r="B114" t="s">
        <v>264</v>
      </c>
      <c r="C114" t="s">
        <v>32</v>
      </c>
      <c r="D114" t="s">
        <v>17</v>
      </c>
      <c r="E114" t="s">
        <v>18</v>
      </c>
      <c r="F114" t="s">
        <v>290</v>
      </c>
      <c r="G114">
        <v>624398362</v>
      </c>
      <c r="H114" t="s">
        <v>291</v>
      </c>
      <c r="I114">
        <v>2206</v>
      </c>
      <c r="J114">
        <v>651.21</v>
      </c>
      <c r="K114">
        <v>524.96</v>
      </c>
      <c r="L114">
        <v>1436569.26</v>
      </c>
      <c r="M114">
        <v>1158061.76</v>
      </c>
      <c r="N114">
        <v>278507.5</v>
      </c>
    </row>
    <row r="115" spans="1:14" x14ac:dyDescent="0.3">
      <c r="A115" t="s">
        <v>14</v>
      </c>
      <c r="B115" t="s">
        <v>92</v>
      </c>
      <c r="C115" t="s">
        <v>16</v>
      </c>
      <c r="D115" t="s">
        <v>23</v>
      </c>
      <c r="E115" t="s">
        <v>18</v>
      </c>
      <c r="F115" t="s">
        <v>292</v>
      </c>
      <c r="G115">
        <v>264163959</v>
      </c>
      <c r="H115" t="s">
        <v>293</v>
      </c>
      <c r="I115">
        <v>840</v>
      </c>
      <c r="J115">
        <v>47.45</v>
      </c>
      <c r="K115">
        <v>31.79</v>
      </c>
      <c r="L115">
        <v>39858</v>
      </c>
      <c r="M115">
        <v>26703.599999999999</v>
      </c>
      <c r="N115">
        <v>13154.4</v>
      </c>
    </row>
    <row r="116" spans="1:14" x14ac:dyDescent="0.3">
      <c r="A116" t="s">
        <v>14</v>
      </c>
      <c r="B116" t="s">
        <v>70</v>
      </c>
      <c r="C116" t="s">
        <v>32</v>
      </c>
      <c r="D116" t="s">
        <v>17</v>
      </c>
      <c r="E116" t="s">
        <v>54</v>
      </c>
      <c r="F116" t="s">
        <v>294</v>
      </c>
      <c r="G116">
        <v>520915305</v>
      </c>
      <c r="H116" t="s">
        <v>295</v>
      </c>
      <c r="I116">
        <v>9270</v>
      </c>
      <c r="J116">
        <v>651.21</v>
      </c>
      <c r="K116">
        <v>524.96</v>
      </c>
      <c r="L116">
        <v>6036716.7000000002</v>
      </c>
      <c r="M116">
        <v>4866379.2</v>
      </c>
      <c r="N116">
        <v>1170337.5</v>
      </c>
    </row>
    <row r="117" spans="1:14" x14ac:dyDescent="0.3">
      <c r="A117" t="s">
        <v>14</v>
      </c>
      <c r="B117" t="s">
        <v>122</v>
      </c>
      <c r="C117" t="s">
        <v>28</v>
      </c>
      <c r="D117" t="s">
        <v>23</v>
      </c>
      <c r="E117" t="s">
        <v>54</v>
      </c>
      <c r="F117" t="s">
        <v>296</v>
      </c>
      <c r="G117">
        <v>424181544</v>
      </c>
      <c r="H117" t="s">
        <v>297</v>
      </c>
      <c r="I117">
        <v>3600</v>
      </c>
      <c r="J117">
        <v>205.7</v>
      </c>
      <c r="K117">
        <v>117.11</v>
      </c>
      <c r="L117">
        <v>740520</v>
      </c>
      <c r="M117">
        <v>421596</v>
      </c>
      <c r="N117">
        <v>318924</v>
      </c>
    </row>
    <row r="118" spans="1:14" x14ac:dyDescent="0.3">
      <c r="A118" t="s">
        <v>14</v>
      </c>
      <c r="B118" t="s">
        <v>94</v>
      </c>
      <c r="C118" t="s">
        <v>32</v>
      </c>
      <c r="D118" t="s">
        <v>23</v>
      </c>
      <c r="E118" t="s">
        <v>54</v>
      </c>
      <c r="F118" t="s">
        <v>298</v>
      </c>
      <c r="G118">
        <v>560762631</v>
      </c>
      <c r="H118" t="s">
        <v>299</v>
      </c>
      <c r="I118">
        <v>979</v>
      </c>
      <c r="J118">
        <v>651.21</v>
      </c>
      <c r="K118">
        <v>524.96</v>
      </c>
      <c r="L118">
        <v>637534.59</v>
      </c>
      <c r="M118">
        <v>513935.84</v>
      </c>
      <c r="N118">
        <v>123598.75</v>
      </c>
    </row>
    <row r="119" spans="1:14" x14ac:dyDescent="0.3">
      <c r="A119" t="s">
        <v>14</v>
      </c>
      <c r="B119" t="s">
        <v>146</v>
      </c>
      <c r="C119" t="s">
        <v>32</v>
      </c>
      <c r="D119" t="s">
        <v>17</v>
      </c>
      <c r="E119" t="s">
        <v>33</v>
      </c>
      <c r="F119" t="s">
        <v>65</v>
      </c>
      <c r="G119">
        <v>458816373</v>
      </c>
      <c r="H119" t="s">
        <v>300</v>
      </c>
      <c r="I119">
        <v>2815</v>
      </c>
      <c r="J119">
        <v>651.21</v>
      </c>
      <c r="K119">
        <v>524.96</v>
      </c>
      <c r="L119">
        <v>1833156.15</v>
      </c>
      <c r="M119">
        <v>1477762.4</v>
      </c>
      <c r="N119">
        <v>355393.75</v>
      </c>
    </row>
    <row r="120" spans="1:14" x14ac:dyDescent="0.3">
      <c r="A120" t="s">
        <v>14</v>
      </c>
      <c r="B120" t="s">
        <v>67</v>
      </c>
      <c r="C120" t="s">
        <v>71</v>
      </c>
      <c r="D120" t="s">
        <v>17</v>
      </c>
      <c r="E120" t="s">
        <v>33</v>
      </c>
      <c r="F120" t="s">
        <v>301</v>
      </c>
      <c r="G120">
        <v>142987763</v>
      </c>
      <c r="H120" t="s">
        <v>302</v>
      </c>
      <c r="I120">
        <v>2112</v>
      </c>
      <c r="J120">
        <v>668.27</v>
      </c>
      <c r="K120">
        <v>502.54</v>
      </c>
      <c r="L120">
        <v>1411386.24</v>
      </c>
      <c r="M120">
        <v>1061364.48</v>
      </c>
      <c r="N120">
        <v>350021.76</v>
      </c>
    </row>
    <row r="121" spans="1:14" x14ac:dyDescent="0.3">
      <c r="A121" t="s">
        <v>14</v>
      </c>
      <c r="B121" t="s">
        <v>220</v>
      </c>
      <c r="C121" t="s">
        <v>58</v>
      </c>
      <c r="D121" t="s">
        <v>17</v>
      </c>
      <c r="E121" t="s">
        <v>18</v>
      </c>
      <c r="F121" t="s">
        <v>303</v>
      </c>
      <c r="G121">
        <v>480904042</v>
      </c>
      <c r="H121" t="s">
        <v>304</v>
      </c>
      <c r="I121">
        <v>9048</v>
      </c>
      <c r="J121">
        <v>152.58000000000001</v>
      </c>
      <c r="K121">
        <v>97.44</v>
      </c>
      <c r="L121">
        <v>1380543.84</v>
      </c>
      <c r="M121">
        <v>881637.12</v>
      </c>
      <c r="N121">
        <v>498906.72</v>
      </c>
    </row>
    <row r="122" spans="1:14" x14ac:dyDescent="0.3">
      <c r="A122" t="s">
        <v>14</v>
      </c>
      <c r="B122" t="s">
        <v>122</v>
      </c>
      <c r="C122" t="s">
        <v>46</v>
      </c>
      <c r="D122" t="s">
        <v>23</v>
      </c>
      <c r="E122" t="s">
        <v>24</v>
      </c>
      <c r="F122" t="s">
        <v>305</v>
      </c>
      <c r="G122">
        <v>571323239</v>
      </c>
      <c r="H122" t="s">
        <v>306</v>
      </c>
      <c r="I122">
        <v>6097</v>
      </c>
      <c r="J122">
        <v>154.06</v>
      </c>
      <c r="K122">
        <v>90.93</v>
      </c>
      <c r="L122">
        <v>939303.82</v>
      </c>
      <c r="M122">
        <v>554400.21</v>
      </c>
      <c r="N122">
        <v>384903.61</v>
      </c>
    </row>
    <row r="123" spans="1:14" x14ac:dyDescent="0.3">
      <c r="A123" t="s">
        <v>14</v>
      </c>
      <c r="B123" t="s">
        <v>185</v>
      </c>
      <c r="C123" t="s">
        <v>58</v>
      </c>
      <c r="D123" t="s">
        <v>23</v>
      </c>
      <c r="E123" t="s">
        <v>54</v>
      </c>
      <c r="F123" t="s">
        <v>177</v>
      </c>
      <c r="G123">
        <v>281100928</v>
      </c>
      <c r="H123" t="s">
        <v>143</v>
      </c>
      <c r="I123">
        <v>2866</v>
      </c>
      <c r="J123">
        <v>152.58000000000001</v>
      </c>
      <c r="K123">
        <v>97.44</v>
      </c>
      <c r="L123">
        <v>437294.28</v>
      </c>
      <c r="M123">
        <v>279263.03999999998</v>
      </c>
      <c r="N123">
        <v>158031.24</v>
      </c>
    </row>
    <row r="124" spans="1:14" x14ac:dyDescent="0.3">
      <c r="A124" t="s">
        <v>14</v>
      </c>
      <c r="B124" t="s">
        <v>232</v>
      </c>
      <c r="C124" t="s">
        <v>71</v>
      </c>
      <c r="D124" t="s">
        <v>23</v>
      </c>
      <c r="E124" t="s">
        <v>33</v>
      </c>
      <c r="F124" t="s">
        <v>307</v>
      </c>
      <c r="G124">
        <v>659196269</v>
      </c>
      <c r="H124" t="s">
        <v>308</v>
      </c>
      <c r="I124">
        <v>9680</v>
      </c>
      <c r="J124">
        <v>668.27</v>
      </c>
      <c r="K124">
        <v>502.54</v>
      </c>
      <c r="L124">
        <v>6468853.5999999996</v>
      </c>
      <c r="M124">
        <v>4864587.2</v>
      </c>
      <c r="N124">
        <v>1604266.4</v>
      </c>
    </row>
    <row r="125" spans="1:14" x14ac:dyDescent="0.3">
      <c r="A125" t="s">
        <v>14</v>
      </c>
      <c r="B125" t="s">
        <v>31</v>
      </c>
      <c r="C125" t="s">
        <v>102</v>
      </c>
      <c r="D125" t="s">
        <v>17</v>
      </c>
      <c r="E125" t="s">
        <v>54</v>
      </c>
      <c r="F125" t="s">
        <v>309</v>
      </c>
      <c r="G125">
        <v>595496594</v>
      </c>
      <c r="H125" t="s">
        <v>310</v>
      </c>
      <c r="I125">
        <v>9530</v>
      </c>
      <c r="J125">
        <v>81.73</v>
      </c>
      <c r="K125">
        <v>56.67</v>
      </c>
      <c r="L125">
        <v>778886.9</v>
      </c>
      <c r="M125">
        <v>540065.1</v>
      </c>
      <c r="N125">
        <v>238821.8</v>
      </c>
    </row>
    <row r="126" spans="1:14" x14ac:dyDescent="0.3">
      <c r="A126" t="s">
        <v>14</v>
      </c>
      <c r="B126" t="s">
        <v>271</v>
      </c>
      <c r="C126" t="s">
        <v>102</v>
      </c>
      <c r="D126" t="s">
        <v>17</v>
      </c>
      <c r="E126" t="s">
        <v>54</v>
      </c>
      <c r="F126" t="s">
        <v>311</v>
      </c>
      <c r="G126">
        <v>354931628</v>
      </c>
      <c r="H126" t="s">
        <v>312</v>
      </c>
      <c r="I126">
        <v>1011</v>
      </c>
      <c r="J126">
        <v>81.73</v>
      </c>
      <c r="K126">
        <v>56.67</v>
      </c>
      <c r="L126">
        <v>82629.03</v>
      </c>
      <c r="M126">
        <v>57293.37</v>
      </c>
      <c r="N126">
        <v>25335.66</v>
      </c>
    </row>
    <row r="127" spans="1:14" x14ac:dyDescent="0.3">
      <c r="A127" t="s">
        <v>14</v>
      </c>
      <c r="B127" t="s">
        <v>166</v>
      </c>
      <c r="C127" t="s">
        <v>50</v>
      </c>
      <c r="D127" t="s">
        <v>17</v>
      </c>
      <c r="E127" t="s">
        <v>18</v>
      </c>
      <c r="F127" t="s">
        <v>313</v>
      </c>
      <c r="G127">
        <v>436969029</v>
      </c>
      <c r="H127" t="s">
        <v>314</v>
      </c>
      <c r="I127">
        <v>7701</v>
      </c>
      <c r="J127">
        <v>421.89</v>
      </c>
      <c r="K127">
        <v>364.69</v>
      </c>
      <c r="L127">
        <v>3248974.89</v>
      </c>
      <c r="M127">
        <v>2808477.69</v>
      </c>
      <c r="N127">
        <v>440497.2</v>
      </c>
    </row>
    <row r="128" spans="1:14" x14ac:dyDescent="0.3">
      <c r="A128" t="s">
        <v>14</v>
      </c>
      <c r="B128" t="s">
        <v>146</v>
      </c>
      <c r="C128" t="s">
        <v>46</v>
      </c>
      <c r="D128" t="s">
        <v>23</v>
      </c>
      <c r="E128" t="s">
        <v>33</v>
      </c>
      <c r="F128" t="s">
        <v>315</v>
      </c>
      <c r="G128">
        <v>810752236</v>
      </c>
      <c r="H128" t="s">
        <v>316</v>
      </c>
      <c r="I128">
        <v>8458</v>
      </c>
      <c r="J128">
        <v>154.06</v>
      </c>
      <c r="K128">
        <v>90.93</v>
      </c>
      <c r="L128">
        <v>1303039.48</v>
      </c>
      <c r="M128">
        <v>769085.94</v>
      </c>
      <c r="N128">
        <v>533953.54</v>
      </c>
    </row>
    <row r="129" spans="1:14" x14ac:dyDescent="0.3">
      <c r="A129" t="s">
        <v>14</v>
      </c>
      <c r="B129" t="s">
        <v>185</v>
      </c>
      <c r="C129" t="s">
        <v>32</v>
      </c>
      <c r="D129" t="s">
        <v>17</v>
      </c>
      <c r="E129" t="s">
        <v>18</v>
      </c>
      <c r="F129" t="s">
        <v>43</v>
      </c>
      <c r="G129">
        <v>886620128</v>
      </c>
      <c r="H129" t="s">
        <v>317</v>
      </c>
      <c r="I129">
        <v>9453</v>
      </c>
      <c r="J129">
        <v>651.21</v>
      </c>
      <c r="K129">
        <v>524.96</v>
      </c>
      <c r="L129">
        <v>6155888.1299999999</v>
      </c>
      <c r="M129">
        <v>4962446.88</v>
      </c>
      <c r="N129">
        <v>1193441.25</v>
      </c>
    </row>
    <row r="130" spans="1:14" x14ac:dyDescent="0.3">
      <c r="A130" t="s">
        <v>14</v>
      </c>
      <c r="B130" t="s">
        <v>53</v>
      </c>
      <c r="C130" t="s">
        <v>28</v>
      </c>
      <c r="D130" t="s">
        <v>17</v>
      </c>
      <c r="E130" t="s">
        <v>24</v>
      </c>
      <c r="F130" t="s">
        <v>318</v>
      </c>
      <c r="G130">
        <v>889093768</v>
      </c>
      <c r="H130" t="s">
        <v>319</v>
      </c>
      <c r="I130">
        <v>1458</v>
      </c>
      <c r="J130">
        <v>205.7</v>
      </c>
      <c r="K130">
        <v>117.11</v>
      </c>
      <c r="L130">
        <v>299910.59999999998</v>
      </c>
      <c r="M130">
        <v>170746.38</v>
      </c>
      <c r="N130">
        <v>129164.22</v>
      </c>
    </row>
    <row r="131" spans="1:14" x14ac:dyDescent="0.3">
      <c r="A131" t="s">
        <v>14</v>
      </c>
      <c r="B131" t="s">
        <v>89</v>
      </c>
      <c r="C131" t="s">
        <v>28</v>
      </c>
      <c r="D131" t="s">
        <v>23</v>
      </c>
      <c r="E131" t="s">
        <v>18</v>
      </c>
      <c r="F131" t="s">
        <v>320</v>
      </c>
      <c r="G131">
        <v>454550588</v>
      </c>
      <c r="H131" t="s">
        <v>321</v>
      </c>
      <c r="I131">
        <v>475</v>
      </c>
      <c r="J131">
        <v>205.7</v>
      </c>
      <c r="K131">
        <v>117.11</v>
      </c>
      <c r="L131">
        <v>97707.5</v>
      </c>
      <c r="M131">
        <v>55627.25</v>
      </c>
      <c r="N131">
        <v>42080.25</v>
      </c>
    </row>
    <row r="132" spans="1:14" x14ac:dyDescent="0.3">
      <c r="A132" t="s">
        <v>14</v>
      </c>
      <c r="B132" t="s">
        <v>27</v>
      </c>
      <c r="C132" t="s">
        <v>32</v>
      </c>
      <c r="D132" t="s">
        <v>23</v>
      </c>
      <c r="E132" t="s">
        <v>33</v>
      </c>
      <c r="F132" t="s">
        <v>322</v>
      </c>
      <c r="G132">
        <v>926064479</v>
      </c>
      <c r="H132" t="s">
        <v>323</v>
      </c>
      <c r="I132">
        <v>1913</v>
      </c>
      <c r="J132">
        <v>651.21</v>
      </c>
      <c r="K132">
        <v>524.96</v>
      </c>
      <c r="L132">
        <v>1245764.73</v>
      </c>
      <c r="M132">
        <v>1004248.48</v>
      </c>
      <c r="N132">
        <v>241516.25</v>
      </c>
    </row>
    <row r="133" spans="1:14" x14ac:dyDescent="0.3">
      <c r="A133" t="s">
        <v>14</v>
      </c>
      <c r="B133" t="s">
        <v>220</v>
      </c>
      <c r="C133" t="s">
        <v>37</v>
      </c>
      <c r="D133" t="s">
        <v>17</v>
      </c>
      <c r="E133" t="s">
        <v>18</v>
      </c>
      <c r="F133" t="s">
        <v>324</v>
      </c>
      <c r="G133">
        <v>413245427</v>
      </c>
      <c r="H133" t="s">
        <v>325</v>
      </c>
      <c r="I133">
        <v>7360</v>
      </c>
      <c r="J133">
        <v>9.33</v>
      </c>
      <c r="K133">
        <v>6.92</v>
      </c>
      <c r="L133">
        <v>68668.800000000003</v>
      </c>
      <c r="M133">
        <v>50931.199999999997</v>
      </c>
      <c r="N133">
        <v>17737.599999999999</v>
      </c>
    </row>
    <row r="134" spans="1:14" x14ac:dyDescent="0.3">
      <c r="A134" t="s">
        <v>14</v>
      </c>
      <c r="B134" t="s">
        <v>53</v>
      </c>
      <c r="C134" t="s">
        <v>16</v>
      </c>
      <c r="D134" t="s">
        <v>23</v>
      </c>
      <c r="E134" t="s">
        <v>54</v>
      </c>
      <c r="F134" t="s">
        <v>326</v>
      </c>
      <c r="G134">
        <v>884147775</v>
      </c>
      <c r="H134" t="s">
        <v>327</v>
      </c>
      <c r="I134">
        <v>7829</v>
      </c>
      <c r="J134">
        <v>47.45</v>
      </c>
      <c r="K134">
        <v>31.79</v>
      </c>
      <c r="L134">
        <v>371486.05</v>
      </c>
      <c r="M134">
        <v>248883.91</v>
      </c>
      <c r="N134">
        <v>122602.14</v>
      </c>
    </row>
    <row r="135" spans="1:14" x14ac:dyDescent="0.3">
      <c r="A135" t="s">
        <v>14</v>
      </c>
      <c r="B135" t="s">
        <v>220</v>
      </c>
      <c r="C135" t="s">
        <v>75</v>
      </c>
      <c r="D135" t="s">
        <v>23</v>
      </c>
      <c r="E135" t="s">
        <v>18</v>
      </c>
      <c r="F135" t="s">
        <v>328</v>
      </c>
      <c r="G135">
        <v>328322827</v>
      </c>
      <c r="H135" t="s">
        <v>329</v>
      </c>
      <c r="I135">
        <v>6876</v>
      </c>
      <c r="J135">
        <v>437.2</v>
      </c>
      <c r="K135">
        <v>263.33</v>
      </c>
      <c r="L135">
        <v>3006187.2</v>
      </c>
      <c r="M135">
        <v>1810657.08</v>
      </c>
      <c r="N135">
        <v>1195530.1200000001</v>
      </c>
    </row>
    <row r="136" spans="1:14" x14ac:dyDescent="0.3">
      <c r="A136" t="s">
        <v>14</v>
      </c>
      <c r="B136" t="s">
        <v>196</v>
      </c>
      <c r="C136" t="s">
        <v>58</v>
      </c>
      <c r="D136" t="s">
        <v>23</v>
      </c>
      <c r="E136" t="s">
        <v>54</v>
      </c>
      <c r="F136" t="s">
        <v>330</v>
      </c>
      <c r="G136">
        <v>158673751</v>
      </c>
      <c r="H136" t="s">
        <v>331</v>
      </c>
      <c r="I136">
        <v>3944</v>
      </c>
      <c r="J136">
        <v>152.58000000000001</v>
      </c>
      <c r="K136">
        <v>97.44</v>
      </c>
      <c r="L136">
        <v>601775.52</v>
      </c>
      <c r="M136">
        <v>384303.35999999999</v>
      </c>
      <c r="N136">
        <v>217472.16</v>
      </c>
    </row>
    <row r="137" spans="1:14" x14ac:dyDescent="0.3">
      <c r="A137" t="s">
        <v>14</v>
      </c>
      <c r="B137" t="s">
        <v>185</v>
      </c>
      <c r="C137" t="s">
        <v>58</v>
      </c>
      <c r="D137" t="s">
        <v>17</v>
      </c>
      <c r="E137" t="s">
        <v>33</v>
      </c>
      <c r="F137" t="s">
        <v>332</v>
      </c>
      <c r="G137">
        <v>464911210</v>
      </c>
      <c r="H137" t="s">
        <v>333</v>
      </c>
      <c r="I137">
        <v>6413</v>
      </c>
      <c r="J137">
        <v>152.58000000000001</v>
      </c>
      <c r="K137">
        <v>97.44</v>
      </c>
      <c r="L137">
        <v>978495.54</v>
      </c>
      <c r="M137">
        <v>624882.72</v>
      </c>
      <c r="N137">
        <v>353612.82</v>
      </c>
    </row>
    <row r="138" spans="1:14" x14ac:dyDescent="0.3">
      <c r="A138" t="s">
        <v>14</v>
      </c>
      <c r="B138" t="s">
        <v>83</v>
      </c>
      <c r="C138" t="s">
        <v>16</v>
      </c>
      <c r="D138" t="s">
        <v>23</v>
      </c>
      <c r="E138" t="s">
        <v>18</v>
      </c>
      <c r="F138" t="s">
        <v>334</v>
      </c>
      <c r="G138">
        <v>395562589</v>
      </c>
      <c r="H138" t="s">
        <v>335</v>
      </c>
      <c r="I138">
        <v>4615</v>
      </c>
      <c r="J138">
        <v>47.45</v>
      </c>
      <c r="K138">
        <v>31.79</v>
      </c>
      <c r="L138">
        <v>218981.75</v>
      </c>
      <c r="M138">
        <v>146710.85</v>
      </c>
      <c r="N138">
        <v>72270.899999999994</v>
      </c>
    </row>
    <row r="139" spans="1:14" x14ac:dyDescent="0.3">
      <c r="A139" t="s">
        <v>14</v>
      </c>
      <c r="B139" t="s">
        <v>185</v>
      </c>
      <c r="C139" t="s">
        <v>64</v>
      </c>
      <c r="D139" t="s">
        <v>17</v>
      </c>
      <c r="E139" t="s">
        <v>54</v>
      </c>
      <c r="F139" t="s">
        <v>336</v>
      </c>
      <c r="G139">
        <v>459372985</v>
      </c>
      <c r="H139" t="s">
        <v>337</v>
      </c>
      <c r="I139">
        <v>7529</v>
      </c>
      <c r="J139">
        <v>255.28</v>
      </c>
      <c r="K139">
        <v>159.41999999999999</v>
      </c>
      <c r="L139">
        <v>1922003.12</v>
      </c>
      <c r="M139">
        <v>1200273.18</v>
      </c>
      <c r="N139">
        <v>721729.94</v>
      </c>
    </row>
    <row r="140" spans="1:14" x14ac:dyDescent="0.3">
      <c r="A140" t="s">
        <v>14</v>
      </c>
      <c r="B140" t="s">
        <v>122</v>
      </c>
      <c r="C140" t="s">
        <v>50</v>
      </c>
      <c r="D140" t="s">
        <v>23</v>
      </c>
      <c r="E140" t="s">
        <v>33</v>
      </c>
      <c r="F140" t="s">
        <v>338</v>
      </c>
      <c r="G140">
        <v>693210542</v>
      </c>
      <c r="H140" t="s">
        <v>339</v>
      </c>
      <c r="I140">
        <v>5259</v>
      </c>
      <c r="J140">
        <v>421.89</v>
      </c>
      <c r="K140">
        <v>364.69</v>
      </c>
      <c r="L140">
        <v>2218719.5099999998</v>
      </c>
      <c r="M140">
        <v>1917904.71</v>
      </c>
      <c r="N140">
        <v>300814.8</v>
      </c>
    </row>
    <row r="141" spans="1:14" x14ac:dyDescent="0.3">
      <c r="A141" t="s">
        <v>14</v>
      </c>
      <c r="B141" t="s">
        <v>169</v>
      </c>
      <c r="C141" t="s">
        <v>37</v>
      </c>
      <c r="D141" t="s">
        <v>17</v>
      </c>
      <c r="E141" t="s">
        <v>33</v>
      </c>
      <c r="F141" t="s">
        <v>340</v>
      </c>
      <c r="G141">
        <v>153974950</v>
      </c>
      <c r="H141" t="s">
        <v>341</v>
      </c>
      <c r="I141">
        <v>3464</v>
      </c>
      <c r="J141">
        <v>9.33</v>
      </c>
      <c r="K141">
        <v>6.92</v>
      </c>
      <c r="L141">
        <v>32319.119999999999</v>
      </c>
      <c r="M141">
        <v>23970.880000000001</v>
      </c>
      <c r="N141">
        <v>8348.24</v>
      </c>
    </row>
    <row r="142" spans="1:14" x14ac:dyDescent="0.3">
      <c r="A142" t="s">
        <v>14</v>
      </c>
      <c r="B142" t="s">
        <v>342</v>
      </c>
      <c r="C142" t="s">
        <v>58</v>
      </c>
      <c r="D142" t="s">
        <v>23</v>
      </c>
      <c r="E142" t="s">
        <v>54</v>
      </c>
      <c r="F142" t="s">
        <v>211</v>
      </c>
      <c r="G142">
        <v>747327220</v>
      </c>
      <c r="H142" t="s">
        <v>343</v>
      </c>
      <c r="I142">
        <v>9587</v>
      </c>
      <c r="J142">
        <v>152.58000000000001</v>
      </c>
      <c r="K142">
        <v>97.44</v>
      </c>
      <c r="L142">
        <v>1462784.46</v>
      </c>
      <c r="M142">
        <v>934157.28</v>
      </c>
      <c r="N142">
        <v>528627.18000000005</v>
      </c>
    </row>
    <row r="143" spans="1:14" x14ac:dyDescent="0.3">
      <c r="A143" t="s">
        <v>14</v>
      </c>
      <c r="B143" t="s">
        <v>21</v>
      </c>
      <c r="C143" t="s">
        <v>22</v>
      </c>
      <c r="D143" t="s">
        <v>23</v>
      </c>
      <c r="E143" t="s">
        <v>24</v>
      </c>
      <c r="F143" t="s">
        <v>344</v>
      </c>
      <c r="G143">
        <v>166810500</v>
      </c>
      <c r="H143" t="s">
        <v>345</v>
      </c>
      <c r="I143">
        <v>1789</v>
      </c>
      <c r="J143">
        <v>109.28</v>
      </c>
      <c r="K143">
        <v>35.840000000000003</v>
      </c>
      <c r="L143">
        <v>195501.92</v>
      </c>
      <c r="M143">
        <v>64117.760000000002</v>
      </c>
      <c r="N143">
        <v>131384.16</v>
      </c>
    </row>
    <row r="144" spans="1:14" x14ac:dyDescent="0.3">
      <c r="A144" t="s">
        <v>14</v>
      </c>
      <c r="B144" t="s">
        <v>138</v>
      </c>
      <c r="C144" t="s">
        <v>102</v>
      </c>
      <c r="D144" t="s">
        <v>17</v>
      </c>
      <c r="E144" t="s">
        <v>24</v>
      </c>
      <c r="F144" t="s">
        <v>346</v>
      </c>
      <c r="G144">
        <v>386009633</v>
      </c>
      <c r="H144" t="s">
        <v>347</v>
      </c>
      <c r="I144">
        <v>7683</v>
      </c>
      <c r="J144">
        <v>81.73</v>
      </c>
      <c r="K144">
        <v>56.67</v>
      </c>
      <c r="L144">
        <v>627931.59</v>
      </c>
      <c r="M144">
        <v>435395.61</v>
      </c>
      <c r="N144">
        <v>192535.98</v>
      </c>
    </row>
    <row r="145" spans="1:14" x14ac:dyDescent="0.3">
      <c r="A145" t="s">
        <v>14</v>
      </c>
      <c r="B145" t="s">
        <v>196</v>
      </c>
      <c r="C145" t="s">
        <v>102</v>
      </c>
      <c r="D145" t="s">
        <v>17</v>
      </c>
      <c r="E145" t="s">
        <v>54</v>
      </c>
      <c r="F145" t="s">
        <v>348</v>
      </c>
      <c r="G145">
        <v>993368613</v>
      </c>
      <c r="H145" t="s">
        <v>349</v>
      </c>
      <c r="I145">
        <v>8702</v>
      </c>
      <c r="J145">
        <v>81.73</v>
      </c>
      <c r="K145">
        <v>56.67</v>
      </c>
      <c r="L145">
        <v>711214.46</v>
      </c>
      <c r="M145">
        <v>493142.34</v>
      </c>
      <c r="N145">
        <v>218072.12</v>
      </c>
    </row>
    <row r="146" spans="1:14" x14ac:dyDescent="0.3">
      <c r="A146" t="s">
        <v>14</v>
      </c>
      <c r="B146" t="s">
        <v>196</v>
      </c>
      <c r="C146" t="s">
        <v>64</v>
      </c>
      <c r="D146" t="s">
        <v>23</v>
      </c>
      <c r="E146" t="s">
        <v>33</v>
      </c>
      <c r="F146" t="s">
        <v>350</v>
      </c>
      <c r="G146">
        <v>405986297</v>
      </c>
      <c r="H146" t="s">
        <v>351</v>
      </c>
      <c r="I146">
        <v>9222</v>
      </c>
      <c r="J146">
        <v>255.28</v>
      </c>
      <c r="K146">
        <v>159.41999999999999</v>
      </c>
      <c r="L146">
        <v>2354192.16</v>
      </c>
      <c r="M146">
        <v>1470171.24</v>
      </c>
      <c r="N146">
        <v>884020.92</v>
      </c>
    </row>
    <row r="147" spans="1:14" x14ac:dyDescent="0.3">
      <c r="A147" t="s">
        <v>14</v>
      </c>
      <c r="B147" t="s">
        <v>31</v>
      </c>
      <c r="C147" t="s">
        <v>16</v>
      </c>
      <c r="D147" t="s">
        <v>23</v>
      </c>
      <c r="E147" t="s">
        <v>54</v>
      </c>
      <c r="F147" t="s">
        <v>352</v>
      </c>
      <c r="G147">
        <v>476794040</v>
      </c>
      <c r="H147" t="s">
        <v>353</v>
      </c>
      <c r="I147">
        <v>2807</v>
      </c>
      <c r="J147">
        <v>47.45</v>
      </c>
      <c r="K147">
        <v>31.79</v>
      </c>
      <c r="L147">
        <v>133192.15</v>
      </c>
      <c r="M147">
        <v>89234.53</v>
      </c>
      <c r="N147">
        <v>43957.62</v>
      </c>
    </row>
    <row r="148" spans="1:14" x14ac:dyDescent="0.3">
      <c r="A148" t="s">
        <v>14</v>
      </c>
      <c r="B148" t="s">
        <v>83</v>
      </c>
      <c r="C148" t="s">
        <v>50</v>
      </c>
      <c r="D148" t="s">
        <v>17</v>
      </c>
      <c r="E148" t="s">
        <v>18</v>
      </c>
      <c r="F148" t="s">
        <v>354</v>
      </c>
      <c r="G148">
        <v>380610454</v>
      </c>
      <c r="H148" t="s">
        <v>193</v>
      </c>
      <c r="I148">
        <v>9946</v>
      </c>
      <c r="J148">
        <v>421.89</v>
      </c>
      <c r="K148">
        <v>364.69</v>
      </c>
      <c r="L148">
        <v>4196117.9400000004</v>
      </c>
      <c r="M148">
        <v>3627206.74</v>
      </c>
      <c r="N148">
        <v>568911.19999999995</v>
      </c>
    </row>
    <row r="149" spans="1:14" x14ac:dyDescent="0.3">
      <c r="A149" t="s">
        <v>14</v>
      </c>
      <c r="B149" t="s">
        <v>163</v>
      </c>
      <c r="C149" t="s">
        <v>46</v>
      </c>
      <c r="D149" t="s">
        <v>17</v>
      </c>
      <c r="E149" t="s">
        <v>33</v>
      </c>
      <c r="F149" t="s">
        <v>355</v>
      </c>
      <c r="G149">
        <v>455040681</v>
      </c>
      <c r="H149" t="s">
        <v>356</v>
      </c>
      <c r="I149">
        <v>5504</v>
      </c>
      <c r="J149">
        <v>154.06</v>
      </c>
      <c r="K149">
        <v>90.93</v>
      </c>
      <c r="L149">
        <v>847946.23999999999</v>
      </c>
      <c r="M149">
        <v>500478.71999999997</v>
      </c>
      <c r="N149">
        <v>347467.52000000002</v>
      </c>
    </row>
    <row r="150" spans="1:14" x14ac:dyDescent="0.3">
      <c r="A150" t="s">
        <v>14</v>
      </c>
      <c r="B150" t="s">
        <v>223</v>
      </c>
      <c r="C150" t="s">
        <v>22</v>
      </c>
      <c r="D150" t="s">
        <v>23</v>
      </c>
      <c r="E150" t="s">
        <v>24</v>
      </c>
      <c r="F150" t="s">
        <v>357</v>
      </c>
      <c r="G150">
        <v>917792117</v>
      </c>
      <c r="H150" t="s">
        <v>358</v>
      </c>
      <c r="I150">
        <v>3938</v>
      </c>
      <c r="J150">
        <v>109.28</v>
      </c>
      <c r="K150">
        <v>35.840000000000003</v>
      </c>
      <c r="L150">
        <v>430344.64</v>
      </c>
      <c r="M150">
        <v>141137.92000000001</v>
      </c>
      <c r="N150">
        <v>289206.71999999997</v>
      </c>
    </row>
    <row r="151" spans="1:14" x14ac:dyDescent="0.3">
      <c r="A151" t="s">
        <v>14</v>
      </c>
      <c r="B151" t="s">
        <v>141</v>
      </c>
      <c r="C151" t="s">
        <v>75</v>
      </c>
      <c r="D151" t="s">
        <v>17</v>
      </c>
      <c r="E151" t="s">
        <v>33</v>
      </c>
      <c r="F151" t="s">
        <v>359</v>
      </c>
      <c r="G151">
        <v>728793370</v>
      </c>
      <c r="H151" t="s">
        <v>360</v>
      </c>
      <c r="I151">
        <v>5009</v>
      </c>
      <c r="J151">
        <v>437.2</v>
      </c>
      <c r="K151">
        <v>263.33</v>
      </c>
      <c r="L151">
        <v>2189934.7999999998</v>
      </c>
      <c r="M151">
        <v>1319019.97</v>
      </c>
      <c r="N151">
        <v>870914.83</v>
      </c>
    </row>
    <row r="152" spans="1:14" x14ac:dyDescent="0.3">
      <c r="A152" t="s">
        <v>14</v>
      </c>
      <c r="B152" t="s">
        <v>27</v>
      </c>
      <c r="C152" t="s">
        <v>37</v>
      </c>
      <c r="D152" t="s">
        <v>17</v>
      </c>
      <c r="E152" t="s">
        <v>24</v>
      </c>
      <c r="F152" t="s">
        <v>361</v>
      </c>
      <c r="G152">
        <v>185960614</v>
      </c>
      <c r="H152" t="s">
        <v>362</v>
      </c>
      <c r="I152">
        <v>8733</v>
      </c>
      <c r="J152">
        <v>9.33</v>
      </c>
      <c r="K152">
        <v>6.92</v>
      </c>
      <c r="L152">
        <v>81478.89</v>
      </c>
      <c r="M152">
        <v>60432.36</v>
      </c>
      <c r="N152">
        <v>21046.53</v>
      </c>
    </row>
    <row r="153" spans="1:14" x14ac:dyDescent="0.3">
      <c r="A153" t="s">
        <v>14</v>
      </c>
      <c r="B153" t="s">
        <v>53</v>
      </c>
      <c r="C153" t="s">
        <v>32</v>
      </c>
      <c r="D153" t="s">
        <v>17</v>
      </c>
      <c r="E153" t="s">
        <v>54</v>
      </c>
      <c r="F153" t="s">
        <v>313</v>
      </c>
      <c r="G153">
        <v>445273578</v>
      </c>
      <c r="H153" t="s">
        <v>363</v>
      </c>
      <c r="I153">
        <v>5201</v>
      </c>
      <c r="J153">
        <v>651.21</v>
      </c>
      <c r="K153">
        <v>524.96</v>
      </c>
      <c r="L153">
        <v>3386943.21</v>
      </c>
      <c r="M153">
        <v>2730316.96</v>
      </c>
      <c r="N153">
        <v>656626.25</v>
      </c>
    </row>
    <row r="154" spans="1:14" x14ac:dyDescent="0.3">
      <c r="A154" t="s">
        <v>14</v>
      </c>
      <c r="B154" t="s">
        <v>364</v>
      </c>
      <c r="C154" t="s">
        <v>64</v>
      </c>
      <c r="D154" t="s">
        <v>23</v>
      </c>
      <c r="E154" t="s">
        <v>33</v>
      </c>
      <c r="F154" t="s">
        <v>365</v>
      </c>
      <c r="G154">
        <v>359197413</v>
      </c>
      <c r="H154" t="s">
        <v>366</v>
      </c>
      <c r="I154">
        <v>3352</v>
      </c>
      <c r="J154">
        <v>255.28</v>
      </c>
      <c r="K154">
        <v>159.41999999999999</v>
      </c>
      <c r="L154">
        <v>855698.56</v>
      </c>
      <c r="M154">
        <v>534375.84</v>
      </c>
      <c r="N154">
        <v>321322.71999999997</v>
      </c>
    </row>
    <row r="155" spans="1:14" x14ac:dyDescent="0.3">
      <c r="A155" t="s">
        <v>14</v>
      </c>
      <c r="B155" t="s">
        <v>342</v>
      </c>
      <c r="C155" t="s">
        <v>102</v>
      </c>
      <c r="D155" t="s">
        <v>17</v>
      </c>
      <c r="E155" t="s">
        <v>33</v>
      </c>
      <c r="F155" t="s">
        <v>367</v>
      </c>
      <c r="G155">
        <v>853036296</v>
      </c>
      <c r="H155" t="s">
        <v>308</v>
      </c>
      <c r="I155">
        <v>1251</v>
      </c>
      <c r="J155">
        <v>81.73</v>
      </c>
      <c r="K155">
        <v>56.67</v>
      </c>
      <c r="L155">
        <v>102244.23</v>
      </c>
      <c r="M155">
        <v>70894.17</v>
      </c>
      <c r="N155">
        <v>31350.06</v>
      </c>
    </row>
    <row r="156" spans="1:14" x14ac:dyDescent="0.3">
      <c r="A156" t="s">
        <v>14</v>
      </c>
      <c r="B156" t="s">
        <v>49</v>
      </c>
      <c r="C156" t="s">
        <v>37</v>
      </c>
      <c r="D156" t="s">
        <v>17</v>
      </c>
      <c r="E156" t="s">
        <v>24</v>
      </c>
      <c r="F156" t="s">
        <v>368</v>
      </c>
      <c r="G156">
        <v>567412793</v>
      </c>
      <c r="H156" t="s">
        <v>369</v>
      </c>
      <c r="I156">
        <v>8910</v>
      </c>
      <c r="J156">
        <v>9.33</v>
      </c>
      <c r="K156">
        <v>6.92</v>
      </c>
      <c r="L156">
        <v>83130.3</v>
      </c>
      <c r="M156">
        <v>61657.2</v>
      </c>
      <c r="N156">
        <v>21473.1</v>
      </c>
    </row>
    <row r="157" spans="1:14" x14ac:dyDescent="0.3">
      <c r="A157" t="s">
        <v>14</v>
      </c>
      <c r="B157" t="s">
        <v>271</v>
      </c>
      <c r="C157" t="s">
        <v>75</v>
      </c>
      <c r="D157" t="s">
        <v>17</v>
      </c>
      <c r="E157" t="s">
        <v>54</v>
      </c>
      <c r="F157" t="s">
        <v>370</v>
      </c>
      <c r="G157">
        <v>139201343</v>
      </c>
      <c r="H157" t="s">
        <v>371</v>
      </c>
      <c r="I157">
        <v>1625</v>
      </c>
      <c r="J157">
        <v>437.2</v>
      </c>
      <c r="K157">
        <v>263.33</v>
      </c>
      <c r="L157">
        <v>710450</v>
      </c>
      <c r="M157">
        <v>427911.25</v>
      </c>
      <c r="N157">
        <v>282538.75</v>
      </c>
    </row>
    <row r="158" spans="1:14" x14ac:dyDescent="0.3">
      <c r="A158" t="s">
        <v>14</v>
      </c>
      <c r="B158" t="s">
        <v>74</v>
      </c>
      <c r="C158" t="s">
        <v>75</v>
      </c>
      <c r="D158" t="s">
        <v>23</v>
      </c>
      <c r="E158" t="s">
        <v>18</v>
      </c>
      <c r="F158" t="s">
        <v>372</v>
      </c>
      <c r="G158">
        <v>183910119</v>
      </c>
      <c r="H158" t="s">
        <v>373</v>
      </c>
      <c r="I158">
        <v>1946</v>
      </c>
      <c r="J158">
        <v>437.2</v>
      </c>
      <c r="K158">
        <v>263.33</v>
      </c>
      <c r="L158">
        <v>850791.2</v>
      </c>
      <c r="M158">
        <v>512440.18</v>
      </c>
      <c r="N158">
        <v>338351.02</v>
      </c>
    </row>
    <row r="159" spans="1:14" x14ac:dyDescent="0.3">
      <c r="A159" t="s">
        <v>14</v>
      </c>
      <c r="B159" t="s">
        <v>45</v>
      </c>
      <c r="C159" t="s">
        <v>22</v>
      </c>
      <c r="D159" t="s">
        <v>23</v>
      </c>
      <c r="E159" t="s">
        <v>54</v>
      </c>
      <c r="F159" t="s">
        <v>374</v>
      </c>
      <c r="G159">
        <v>922363460</v>
      </c>
      <c r="H159" t="s">
        <v>375</v>
      </c>
      <c r="I159">
        <v>6700</v>
      </c>
      <c r="J159">
        <v>109.28</v>
      </c>
      <c r="K159">
        <v>35.840000000000003</v>
      </c>
      <c r="L159">
        <v>732176</v>
      </c>
      <c r="M159">
        <v>240128</v>
      </c>
      <c r="N159">
        <v>492048</v>
      </c>
    </row>
    <row r="160" spans="1:14" x14ac:dyDescent="0.3">
      <c r="A160" t="s">
        <v>14</v>
      </c>
      <c r="B160" t="s">
        <v>27</v>
      </c>
      <c r="C160" t="s">
        <v>16</v>
      </c>
      <c r="D160" t="s">
        <v>17</v>
      </c>
      <c r="E160" t="s">
        <v>18</v>
      </c>
      <c r="F160" t="s">
        <v>376</v>
      </c>
      <c r="G160">
        <v>192922341</v>
      </c>
      <c r="H160" t="s">
        <v>377</v>
      </c>
      <c r="I160">
        <v>8863</v>
      </c>
      <c r="J160">
        <v>47.45</v>
      </c>
      <c r="K160">
        <v>31.79</v>
      </c>
      <c r="L160">
        <v>420549.35</v>
      </c>
      <c r="M160">
        <v>281754.77</v>
      </c>
      <c r="N160">
        <v>138794.57999999999</v>
      </c>
    </row>
    <row r="161" spans="1:14" x14ac:dyDescent="0.3">
      <c r="A161" t="s">
        <v>14</v>
      </c>
      <c r="B161" t="s">
        <v>110</v>
      </c>
      <c r="C161" t="s">
        <v>28</v>
      </c>
      <c r="D161" t="s">
        <v>23</v>
      </c>
      <c r="E161" t="s">
        <v>33</v>
      </c>
      <c r="F161" t="s">
        <v>378</v>
      </c>
      <c r="G161">
        <v>792178905</v>
      </c>
      <c r="H161" t="s">
        <v>379</v>
      </c>
      <c r="I161">
        <v>2197</v>
      </c>
      <c r="J161">
        <v>205.7</v>
      </c>
      <c r="K161">
        <v>117.11</v>
      </c>
      <c r="L161">
        <v>451922.9</v>
      </c>
      <c r="M161">
        <v>257290.67</v>
      </c>
      <c r="N161">
        <v>194632.23</v>
      </c>
    </row>
    <row r="162" spans="1:14" x14ac:dyDescent="0.3">
      <c r="A162" t="s">
        <v>14</v>
      </c>
      <c r="B162" t="s">
        <v>83</v>
      </c>
      <c r="C162" t="s">
        <v>16</v>
      </c>
      <c r="D162" t="s">
        <v>23</v>
      </c>
      <c r="E162" t="s">
        <v>24</v>
      </c>
      <c r="F162" t="s">
        <v>380</v>
      </c>
      <c r="G162">
        <v>424297845</v>
      </c>
      <c r="H162" t="s">
        <v>381</v>
      </c>
      <c r="I162">
        <v>8016</v>
      </c>
      <c r="J162">
        <v>47.45</v>
      </c>
      <c r="K162">
        <v>31.79</v>
      </c>
      <c r="L162">
        <v>380359.2</v>
      </c>
      <c r="M162">
        <v>254828.64</v>
      </c>
      <c r="N162">
        <v>125530.56</v>
      </c>
    </row>
    <row r="163" spans="1:14" x14ac:dyDescent="0.3">
      <c r="A163" t="s">
        <v>14</v>
      </c>
      <c r="B163" t="s">
        <v>271</v>
      </c>
      <c r="C163" t="s">
        <v>64</v>
      </c>
      <c r="D163" t="s">
        <v>23</v>
      </c>
      <c r="E163" t="s">
        <v>54</v>
      </c>
      <c r="F163" t="s">
        <v>382</v>
      </c>
      <c r="G163">
        <v>243684327</v>
      </c>
      <c r="H163" t="s">
        <v>383</v>
      </c>
      <c r="I163">
        <v>462</v>
      </c>
      <c r="J163">
        <v>255.28</v>
      </c>
      <c r="K163">
        <v>159.41999999999999</v>
      </c>
      <c r="L163">
        <v>117939.36</v>
      </c>
      <c r="M163">
        <v>73652.039999999994</v>
      </c>
      <c r="N163">
        <v>44287.32</v>
      </c>
    </row>
    <row r="164" spans="1:14" x14ac:dyDescent="0.3">
      <c r="A164" t="s">
        <v>14</v>
      </c>
      <c r="B164" t="s">
        <v>61</v>
      </c>
      <c r="C164" t="s">
        <v>22</v>
      </c>
      <c r="D164" t="s">
        <v>17</v>
      </c>
      <c r="E164" t="s">
        <v>24</v>
      </c>
      <c r="F164" t="s">
        <v>384</v>
      </c>
      <c r="G164">
        <v>152505099</v>
      </c>
      <c r="H164" t="s">
        <v>385</v>
      </c>
      <c r="I164">
        <v>8503</v>
      </c>
      <c r="J164">
        <v>109.28</v>
      </c>
      <c r="K164">
        <v>35.840000000000003</v>
      </c>
      <c r="L164">
        <v>929207.84</v>
      </c>
      <c r="M164">
        <v>304747.52000000002</v>
      </c>
      <c r="N164">
        <v>624460.31999999995</v>
      </c>
    </row>
    <row r="165" spans="1:14" x14ac:dyDescent="0.3">
      <c r="A165" t="s">
        <v>14</v>
      </c>
      <c r="B165" t="s">
        <v>364</v>
      </c>
      <c r="C165" t="s">
        <v>64</v>
      </c>
      <c r="D165" t="s">
        <v>23</v>
      </c>
      <c r="E165" t="s">
        <v>33</v>
      </c>
      <c r="F165" t="s">
        <v>386</v>
      </c>
      <c r="G165">
        <v>203036630</v>
      </c>
      <c r="H165" t="s">
        <v>387</v>
      </c>
      <c r="I165">
        <v>1905</v>
      </c>
      <c r="J165">
        <v>255.28</v>
      </c>
      <c r="K165">
        <v>159.41999999999999</v>
      </c>
      <c r="L165">
        <v>486308.4</v>
      </c>
      <c r="M165">
        <v>303695.09999999998</v>
      </c>
      <c r="N165">
        <v>182613.3</v>
      </c>
    </row>
    <row r="166" spans="1:14" x14ac:dyDescent="0.3">
      <c r="A166" t="s">
        <v>14</v>
      </c>
      <c r="B166" t="s">
        <v>74</v>
      </c>
      <c r="C166" t="s">
        <v>58</v>
      </c>
      <c r="D166" t="s">
        <v>17</v>
      </c>
      <c r="E166" t="s">
        <v>18</v>
      </c>
      <c r="F166" t="s">
        <v>388</v>
      </c>
      <c r="G166">
        <v>611791121</v>
      </c>
      <c r="H166" t="s">
        <v>389</v>
      </c>
      <c r="I166">
        <v>1443</v>
      </c>
      <c r="J166">
        <v>152.58000000000001</v>
      </c>
      <c r="K166">
        <v>97.44</v>
      </c>
      <c r="L166">
        <v>220172.94</v>
      </c>
      <c r="M166">
        <v>140605.92000000001</v>
      </c>
      <c r="N166">
        <v>79567.02</v>
      </c>
    </row>
    <row r="167" spans="1:14" x14ac:dyDescent="0.3">
      <c r="A167" t="s">
        <v>14</v>
      </c>
      <c r="B167" t="s">
        <v>61</v>
      </c>
      <c r="C167" t="s">
        <v>28</v>
      </c>
      <c r="D167" t="s">
        <v>17</v>
      </c>
      <c r="E167" t="s">
        <v>18</v>
      </c>
      <c r="F167" t="s">
        <v>390</v>
      </c>
      <c r="G167">
        <v>554554927</v>
      </c>
      <c r="H167" t="s">
        <v>391</v>
      </c>
      <c r="I167">
        <v>3981</v>
      </c>
      <c r="J167">
        <v>205.7</v>
      </c>
      <c r="K167">
        <v>117.11</v>
      </c>
      <c r="L167">
        <v>818891.7</v>
      </c>
      <c r="M167">
        <v>466214.91</v>
      </c>
      <c r="N167">
        <v>352676.79</v>
      </c>
    </row>
    <row r="168" spans="1:14" x14ac:dyDescent="0.3">
      <c r="A168" t="s">
        <v>14</v>
      </c>
      <c r="B168" t="s">
        <v>21</v>
      </c>
      <c r="C168" t="s">
        <v>32</v>
      </c>
      <c r="D168" t="s">
        <v>17</v>
      </c>
      <c r="E168" t="s">
        <v>54</v>
      </c>
      <c r="F168" t="s">
        <v>392</v>
      </c>
      <c r="G168">
        <v>434275662</v>
      </c>
      <c r="H168" t="s">
        <v>339</v>
      </c>
      <c r="I168">
        <v>674</v>
      </c>
      <c r="J168">
        <v>651.21</v>
      </c>
      <c r="K168">
        <v>524.96</v>
      </c>
      <c r="L168">
        <v>438915.54</v>
      </c>
      <c r="M168">
        <v>353823.04</v>
      </c>
      <c r="N168">
        <v>85092.5</v>
      </c>
    </row>
    <row r="169" spans="1:14" x14ac:dyDescent="0.3">
      <c r="A169" t="s">
        <v>14</v>
      </c>
      <c r="B169" t="s">
        <v>196</v>
      </c>
      <c r="C169" t="s">
        <v>102</v>
      </c>
      <c r="D169" t="s">
        <v>17</v>
      </c>
      <c r="E169" t="s">
        <v>54</v>
      </c>
      <c r="F169" t="s">
        <v>393</v>
      </c>
      <c r="G169">
        <v>835093390</v>
      </c>
      <c r="H169" t="s">
        <v>394</v>
      </c>
      <c r="I169">
        <v>1547</v>
      </c>
      <c r="J169">
        <v>81.73</v>
      </c>
      <c r="K169">
        <v>56.67</v>
      </c>
      <c r="L169">
        <v>126436.31</v>
      </c>
      <c r="M169">
        <v>87668.49</v>
      </c>
      <c r="N169">
        <v>38767.82</v>
      </c>
    </row>
    <row r="170" spans="1:14" x14ac:dyDescent="0.3">
      <c r="A170" t="s">
        <v>14</v>
      </c>
      <c r="B170" t="s">
        <v>232</v>
      </c>
      <c r="C170" t="s">
        <v>16</v>
      </c>
      <c r="D170" t="s">
        <v>23</v>
      </c>
      <c r="E170" t="s">
        <v>24</v>
      </c>
      <c r="F170" t="s">
        <v>395</v>
      </c>
      <c r="G170">
        <v>976323497</v>
      </c>
      <c r="H170" t="s">
        <v>396</v>
      </c>
      <c r="I170">
        <v>4674</v>
      </c>
      <c r="J170">
        <v>47.45</v>
      </c>
      <c r="K170">
        <v>31.79</v>
      </c>
      <c r="L170">
        <v>221781.3</v>
      </c>
      <c r="M170">
        <v>148586.46</v>
      </c>
      <c r="N170">
        <v>73194.84</v>
      </c>
    </row>
    <row r="171" spans="1:14" x14ac:dyDescent="0.3">
      <c r="A171" t="s">
        <v>14</v>
      </c>
      <c r="B171" t="s">
        <v>138</v>
      </c>
      <c r="C171" t="s">
        <v>16</v>
      </c>
      <c r="D171" t="s">
        <v>23</v>
      </c>
      <c r="E171" t="s">
        <v>54</v>
      </c>
      <c r="F171" t="s">
        <v>397</v>
      </c>
      <c r="G171">
        <v>732703387</v>
      </c>
      <c r="H171" t="s">
        <v>398</v>
      </c>
      <c r="I171">
        <v>2069</v>
      </c>
      <c r="J171">
        <v>47.45</v>
      </c>
      <c r="K171">
        <v>31.79</v>
      </c>
      <c r="L171">
        <v>98174.05</v>
      </c>
      <c r="M171">
        <v>65773.509999999995</v>
      </c>
      <c r="N171">
        <v>32400.54</v>
      </c>
    </row>
    <row r="172" spans="1:14" x14ac:dyDescent="0.3">
      <c r="A172" t="s">
        <v>14</v>
      </c>
      <c r="B172" t="s">
        <v>97</v>
      </c>
      <c r="C172" t="s">
        <v>71</v>
      </c>
      <c r="D172" t="s">
        <v>23</v>
      </c>
      <c r="E172" t="s">
        <v>18</v>
      </c>
      <c r="F172" t="s">
        <v>399</v>
      </c>
      <c r="G172">
        <v>873432672</v>
      </c>
      <c r="H172" t="s">
        <v>400</v>
      </c>
      <c r="I172">
        <v>6992</v>
      </c>
      <c r="J172">
        <v>668.27</v>
      </c>
      <c r="K172">
        <v>502.54</v>
      </c>
      <c r="L172">
        <v>4672543.84</v>
      </c>
      <c r="M172">
        <v>3513759.68</v>
      </c>
      <c r="N172">
        <v>1158784.1599999999</v>
      </c>
    </row>
    <row r="173" spans="1:14" x14ac:dyDescent="0.3">
      <c r="A173" t="s">
        <v>14</v>
      </c>
      <c r="B173" t="s">
        <v>83</v>
      </c>
      <c r="C173" t="s">
        <v>22</v>
      </c>
      <c r="D173" t="s">
        <v>23</v>
      </c>
      <c r="E173" t="s">
        <v>18</v>
      </c>
      <c r="F173" t="s">
        <v>401</v>
      </c>
      <c r="G173">
        <v>523580348</v>
      </c>
      <c r="H173" t="s">
        <v>402</v>
      </c>
      <c r="I173">
        <v>7915</v>
      </c>
      <c r="J173">
        <v>109.28</v>
      </c>
      <c r="K173">
        <v>35.840000000000003</v>
      </c>
      <c r="L173">
        <v>864951.2</v>
      </c>
      <c r="M173">
        <v>283673.59999999998</v>
      </c>
      <c r="N173">
        <v>581277.6</v>
      </c>
    </row>
    <row r="174" spans="1:14" x14ac:dyDescent="0.3">
      <c r="A174" t="s">
        <v>14</v>
      </c>
      <c r="B174" t="s">
        <v>183</v>
      </c>
      <c r="C174" t="s">
        <v>102</v>
      </c>
      <c r="D174" t="s">
        <v>23</v>
      </c>
      <c r="E174" t="s">
        <v>24</v>
      </c>
      <c r="F174" t="s">
        <v>403</v>
      </c>
      <c r="G174">
        <v>800045716</v>
      </c>
      <c r="H174" t="s">
        <v>404</v>
      </c>
      <c r="I174">
        <v>161</v>
      </c>
      <c r="J174">
        <v>81.73</v>
      </c>
      <c r="K174">
        <v>56.67</v>
      </c>
      <c r="L174">
        <v>13158.53</v>
      </c>
      <c r="M174">
        <v>9123.8700000000008</v>
      </c>
      <c r="N174">
        <v>4034.66</v>
      </c>
    </row>
    <row r="175" spans="1:14" x14ac:dyDescent="0.3">
      <c r="A175" t="s">
        <v>14</v>
      </c>
      <c r="B175" t="s">
        <v>100</v>
      </c>
      <c r="C175" t="s">
        <v>46</v>
      </c>
      <c r="D175" t="s">
        <v>23</v>
      </c>
      <c r="E175" t="s">
        <v>24</v>
      </c>
      <c r="F175" t="s">
        <v>405</v>
      </c>
      <c r="G175">
        <v>743769109</v>
      </c>
      <c r="H175" t="s">
        <v>406</v>
      </c>
      <c r="I175">
        <v>6662</v>
      </c>
      <c r="J175">
        <v>154.06</v>
      </c>
      <c r="K175">
        <v>90.93</v>
      </c>
      <c r="L175">
        <v>1026347.72</v>
      </c>
      <c r="M175">
        <v>605775.66</v>
      </c>
      <c r="N175">
        <v>420572.06</v>
      </c>
    </row>
    <row r="176" spans="1:14" x14ac:dyDescent="0.3">
      <c r="A176" t="s">
        <v>14</v>
      </c>
      <c r="B176" t="s">
        <v>61</v>
      </c>
      <c r="C176" t="s">
        <v>58</v>
      </c>
      <c r="D176" t="s">
        <v>17</v>
      </c>
      <c r="E176" t="s">
        <v>33</v>
      </c>
      <c r="F176" t="s">
        <v>407</v>
      </c>
      <c r="G176">
        <v>201294267</v>
      </c>
      <c r="H176" t="s">
        <v>408</v>
      </c>
      <c r="I176">
        <v>6302</v>
      </c>
      <c r="J176">
        <v>152.58000000000001</v>
      </c>
      <c r="K176">
        <v>97.44</v>
      </c>
      <c r="L176">
        <v>961559.16</v>
      </c>
      <c r="M176">
        <v>614066.88</v>
      </c>
      <c r="N176">
        <v>347492.28</v>
      </c>
    </row>
    <row r="177" spans="1:14" x14ac:dyDescent="0.3">
      <c r="A177" t="s">
        <v>14</v>
      </c>
      <c r="B177" t="s">
        <v>86</v>
      </c>
      <c r="C177" t="s">
        <v>50</v>
      </c>
      <c r="D177" t="s">
        <v>23</v>
      </c>
      <c r="E177" t="s">
        <v>33</v>
      </c>
      <c r="F177" t="s">
        <v>409</v>
      </c>
      <c r="G177">
        <v>668280589</v>
      </c>
      <c r="H177" t="s">
        <v>410</v>
      </c>
      <c r="I177">
        <v>7932</v>
      </c>
      <c r="J177">
        <v>421.89</v>
      </c>
      <c r="K177">
        <v>364.69</v>
      </c>
      <c r="L177">
        <v>3346431.48</v>
      </c>
      <c r="M177">
        <v>2892721.08</v>
      </c>
      <c r="N177">
        <v>453710.4</v>
      </c>
    </row>
    <row r="178" spans="1:14" x14ac:dyDescent="0.3">
      <c r="A178" t="s">
        <v>14</v>
      </c>
      <c r="B178" t="s">
        <v>141</v>
      </c>
      <c r="C178" t="s">
        <v>71</v>
      </c>
      <c r="D178" t="s">
        <v>23</v>
      </c>
      <c r="E178" t="s">
        <v>18</v>
      </c>
      <c r="F178" t="s">
        <v>411</v>
      </c>
      <c r="G178">
        <v>380379998</v>
      </c>
      <c r="H178" t="s">
        <v>412</v>
      </c>
      <c r="I178">
        <v>1749</v>
      </c>
      <c r="J178">
        <v>668.27</v>
      </c>
      <c r="K178">
        <v>502.54</v>
      </c>
      <c r="L178">
        <v>1168804.23</v>
      </c>
      <c r="M178">
        <v>878942.46</v>
      </c>
      <c r="N178">
        <v>289861.77</v>
      </c>
    </row>
    <row r="179" spans="1:14" x14ac:dyDescent="0.3">
      <c r="A179" t="s">
        <v>14</v>
      </c>
      <c r="B179" t="s">
        <v>67</v>
      </c>
      <c r="C179" t="s">
        <v>22</v>
      </c>
      <c r="D179" t="s">
        <v>23</v>
      </c>
      <c r="E179" t="s">
        <v>54</v>
      </c>
      <c r="F179" t="s">
        <v>413</v>
      </c>
      <c r="G179">
        <v>767490565</v>
      </c>
      <c r="H179" t="s">
        <v>414</v>
      </c>
      <c r="I179">
        <v>6368</v>
      </c>
      <c r="J179">
        <v>109.28</v>
      </c>
      <c r="K179">
        <v>35.840000000000003</v>
      </c>
      <c r="L179">
        <v>695895.04000000004</v>
      </c>
      <c r="M179">
        <v>228229.12</v>
      </c>
      <c r="N179">
        <v>467665.91999999998</v>
      </c>
    </row>
    <row r="180" spans="1:14" x14ac:dyDescent="0.3">
      <c r="A180" t="s">
        <v>14</v>
      </c>
      <c r="B180" t="s">
        <v>223</v>
      </c>
      <c r="C180" t="s">
        <v>58</v>
      </c>
      <c r="D180" t="s">
        <v>17</v>
      </c>
      <c r="E180" t="s">
        <v>33</v>
      </c>
      <c r="F180" t="s">
        <v>415</v>
      </c>
      <c r="G180">
        <v>720931279</v>
      </c>
      <c r="H180" t="s">
        <v>416</v>
      </c>
      <c r="I180">
        <v>8441</v>
      </c>
      <c r="J180">
        <v>152.58000000000001</v>
      </c>
      <c r="K180">
        <v>97.44</v>
      </c>
      <c r="L180">
        <v>1287927.78</v>
      </c>
      <c r="M180">
        <v>822491.04</v>
      </c>
      <c r="N180">
        <v>465436.74</v>
      </c>
    </row>
    <row r="181" spans="1:14" x14ac:dyDescent="0.3">
      <c r="A181" t="s">
        <v>14</v>
      </c>
      <c r="B181" t="s">
        <v>94</v>
      </c>
      <c r="C181" t="s">
        <v>58</v>
      </c>
      <c r="D181" t="s">
        <v>23</v>
      </c>
      <c r="E181" t="s">
        <v>33</v>
      </c>
      <c r="F181" t="s">
        <v>417</v>
      </c>
      <c r="G181">
        <v>138025033</v>
      </c>
      <c r="H181" t="s">
        <v>418</v>
      </c>
      <c r="I181">
        <v>3529</v>
      </c>
      <c r="J181">
        <v>152.58000000000001</v>
      </c>
      <c r="K181">
        <v>97.44</v>
      </c>
      <c r="L181">
        <v>538454.81999999995</v>
      </c>
      <c r="M181">
        <v>343865.76</v>
      </c>
      <c r="N181">
        <v>194589.06</v>
      </c>
    </row>
    <row r="182" spans="1:14" x14ac:dyDescent="0.3">
      <c r="A182" t="s">
        <v>14</v>
      </c>
      <c r="B182" t="s">
        <v>220</v>
      </c>
      <c r="C182" t="s">
        <v>50</v>
      </c>
      <c r="D182" t="s">
        <v>17</v>
      </c>
      <c r="E182" t="s">
        <v>54</v>
      </c>
      <c r="F182" t="s">
        <v>419</v>
      </c>
      <c r="G182">
        <v>552931869</v>
      </c>
      <c r="H182" t="s">
        <v>420</v>
      </c>
      <c r="I182">
        <v>3682</v>
      </c>
      <c r="J182">
        <v>421.89</v>
      </c>
      <c r="K182">
        <v>364.69</v>
      </c>
      <c r="L182">
        <v>1553398.98</v>
      </c>
      <c r="M182">
        <v>1342788.58</v>
      </c>
      <c r="N182">
        <v>210610.4</v>
      </c>
    </row>
    <row r="183" spans="1:14" x14ac:dyDescent="0.3">
      <c r="A183" t="s">
        <v>14</v>
      </c>
      <c r="B183" t="s">
        <v>92</v>
      </c>
      <c r="C183" t="s">
        <v>37</v>
      </c>
      <c r="D183" t="s">
        <v>23</v>
      </c>
      <c r="E183" t="s">
        <v>33</v>
      </c>
      <c r="F183" t="s">
        <v>421</v>
      </c>
      <c r="G183">
        <v>142375361</v>
      </c>
      <c r="H183" t="s">
        <v>287</v>
      </c>
      <c r="I183">
        <v>888</v>
      </c>
      <c r="J183">
        <v>9.33</v>
      </c>
      <c r="K183">
        <v>6.92</v>
      </c>
      <c r="L183">
        <v>8285.0400000000009</v>
      </c>
      <c r="M183">
        <v>6144.96</v>
      </c>
      <c r="N183">
        <v>2140.08</v>
      </c>
    </row>
    <row r="184" spans="1:14" x14ac:dyDescent="0.3">
      <c r="A184" t="s">
        <v>14</v>
      </c>
      <c r="B184" t="s">
        <v>57</v>
      </c>
      <c r="C184" t="s">
        <v>75</v>
      </c>
      <c r="D184" t="s">
        <v>17</v>
      </c>
      <c r="E184" t="s">
        <v>18</v>
      </c>
      <c r="F184" t="s">
        <v>422</v>
      </c>
      <c r="G184">
        <v>916089236</v>
      </c>
      <c r="H184" t="s">
        <v>423</v>
      </c>
      <c r="I184">
        <v>17</v>
      </c>
      <c r="J184">
        <v>437.2</v>
      </c>
      <c r="K184">
        <v>263.33</v>
      </c>
      <c r="L184">
        <v>7432.4</v>
      </c>
      <c r="M184">
        <v>4476.6099999999997</v>
      </c>
      <c r="N184">
        <v>2955.79</v>
      </c>
    </row>
    <row r="185" spans="1:14" x14ac:dyDescent="0.3">
      <c r="A185" t="s">
        <v>14</v>
      </c>
      <c r="B185" t="s">
        <v>45</v>
      </c>
      <c r="C185" t="s">
        <v>37</v>
      </c>
      <c r="D185" t="s">
        <v>17</v>
      </c>
      <c r="E185" t="s">
        <v>33</v>
      </c>
      <c r="F185" t="s">
        <v>424</v>
      </c>
      <c r="G185">
        <v>242265546</v>
      </c>
      <c r="H185" t="s">
        <v>425</v>
      </c>
      <c r="I185">
        <v>614</v>
      </c>
      <c r="J185">
        <v>9.33</v>
      </c>
      <c r="K185">
        <v>6.92</v>
      </c>
      <c r="L185">
        <v>5728.62</v>
      </c>
      <c r="M185">
        <v>4248.88</v>
      </c>
      <c r="N185">
        <v>1479.74</v>
      </c>
    </row>
    <row r="186" spans="1:14" x14ac:dyDescent="0.3">
      <c r="A186" t="s">
        <v>14</v>
      </c>
      <c r="B186" t="s">
        <v>100</v>
      </c>
      <c r="C186" t="s">
        <v>75</v>
      </c>
      <c r="D186" t="s">
        <v>23</v>
      </c>
      <c r="E186" t="s">
        <v>24</v>
      </c>
      <c r="F186" t="s">
        <v>59</v>
      </c>
      <c r="G186">
        <v>265914475</v>
      </c>
      <c r="H186" t="s">
        <v>426</v>
      </c>
      <c r="I186">
        <v>8857</v>
      </c>
      <c r="J186">
        <v>437.2</v>
      </c>
      <c r="K186">
        <v>263.33</v>
      </c>
      <c r="L186">
        <v>3872280.4</v>
      </c>
      <c r="M186">
        <v>2332313.81</v>
      </c>
      <c r="N186">
        <v>1539966.59</v>
      </c>
    </row>
    <row r="187" spans="1:14" x14ac:dyDescent="0.3">
      <c r="A187" t="s">
        <v>14</v>
      </c>
      <c r="B187" t="s">
        <v>243</v>
      </c>
      <c r="C187" t="s">
        <v>58</v>
      </c>
      <c r="D187" t="s">
        <v>23</v>
      </c>
      <c r="E187" t="s">
        <v>33</v>
      </c>
      <c r="F187" t="s">
        <v>427</v>
      </c>
      <c r="G187">
        <v>637040793</v>
      </c>
      <c r="H187" t="s">
        <v>428</v>
      </c>
      <c r="I187">
        <v>3382</v>
      </c>
      <c r="J187">
        <v>152.58000000000001</v>
      </c>
      <c r="K187">
        <v>97.44</v>
      </c>
      <c r="L187">
        <v>516025.56</v>
      </c>
      <c r="M187">
        <v>329542.08</v>
      </c>
      <c r="N187">
        <v>186483.48</v>
      </c>
    </row>
    <row r="188" spans="1:14" x14ac:dyDescent="0.3">
      <c r="A188" t="s">
        <v>14</v>
      </c>
      <c r="B188" t="s">
        <v>220</v>
      </c>
      <c r="C188" t="s">
        <v>102</v>
      </c>
      <c r="D188" t="s">
        <v>17</v>
      </c>
      <c r="E188" t="s">
        <v>33</v>
      </c>
      <c r="F188" t="s">
        <v>429</v>
      </c>
      <c r="G188">
        <v>754541289</v>
      </c>
      <c r="H188" t="s">
        <v>430</v>
      </c>
      <c r="I188">
        <v>4390</v>
      </c>
      <c r="J188">
        <v>81.73</v>
      </c>
      <c r="K188">
        <v>56.67</v>
      </c>
      <c r="L188">
        <v>358794.7</v>
      </c>
      <c r="M188">
        <v>248781.3</v>
      </c>
      <c r="N188">
        <v>110013.4</v>
      </c>
    </row>
    <row r="189" spans="1:14" x14ac:dyDescent="0.3">
      <c r="A189" t="s">
        <v>14</v>
      </c>
      <c r="B189" t="s">
        <v>83</v>
      </c>
      <c r="C189" t="s">
        <v>46</v>
      </c>
      <c r="D189" t="s">
        <v>17</v>
      </c>
      <c r="E189" t="s">
        <v>33</v>
      </c>
      <c r="F189" t="s">
        <v>431</v>
      </c>
      <c r="G189">
        <v>697638976</v>
      </c>
      <c r="H189" t="s">
        <v>432</v>
      </c>
      <c r="I189">
        <v>5731</v>
      </c>
      <c r="J189">
        <v>154.06</v>
      </c>
      <c r="K189">
        <v>90.93</v>
      </c>
      <c r="L189">
        <v>882917.86</v>
      </c>
      <c r="M189">
        <v>521119.83</v>
      </c>
      <c r="N189">
        <v>361798.03</v>
      </c>
    </row>
    <row r="190" spans="1:14" x14ac:dyDescent="0.3">
      <c r="A190" t="s">
        <v>14</v>
      </c>
      <c r="B190" t="s">
        <v>15</v>
      </c>
      <c r="C190" t="s">
        <v>64</v>
      </c>
      <c r="D190" t="s">
        <v>23</v>
      </c>
      <c r="E190" t="s">
        <v>18</v>
      </c>
      <c r="F190" t="s">
        <v>433</v>
      </c>
      <c r="G190">
        <v>467312324</v>
      </c>
      <c r="H190" t="s">
        <v>434</v>
      </c>
      <c r="I190">
        <v>6956</v>
      </c>
      <c r="J190">
        <v>255.28</v>
      </c>
      <c r="K190">
        <v>159.41999999999999</v>
      </c>
      <c r="L190">
        <v>1775727.68</v>
      </c>
      <c r="M190">
        <v>1108925.52</v>
      </c>
      <c r="N190">
        <v>666802.16</v>
      </c>
    </row>
    <row r="191" spans="1:14" x14ac:dyDescent="0.3">
      <c r="A191" t="s">
        <v>14</v>
      </c>
      <c r="B191" t="s">
        <v>97</v>
      </c>
      <c r="C191" t="s">
        <v>22</v>
      </c>
      <c r="D191" t="s">
        <v>23</v>
      </c>
      <c r="E191" t="s">
        <v>33</v>
      </c>
      <c r="F191" t="s">
        <v>435</v>
      </c>
      <c r="G191">
        <v>622441852</v>
      </c>
      <c r="H191" t="s">
        <v>436</v>
      </c>
      <c r="I191">
        <v>3231</v>
      </c>
      <c r="J191">
        <v>109.28</v>
      </c>
      <c r="K191">
        <v>35.840000000000003</v>
      </c>
      <c r="L191">
        <v>353083.68</v>
      </c>
      <c r="M191">
        <v>115799.03999999999</v>
      </c>
      <c r="N191">
        <v>237284.64</v>
      </c>
    </row>
    <row r="192" spans="1:14" x14ac:dyDescent="0.3">
      <c r="A192" t="s">
        <v>14</v>
      </c>
      <c r="B192" t="s">
        <v>31</v>
      </c>
      <c r="C192" t="s">
        <v>50</v>
      </c>
      <c r="D192" t="s">
        <v>23</v>
      </c>
      <c r="E192" t="s">
        <v>18</v>
      </c>
      <c r="F192" t="s">
        <v>437</v>
      </c>
      <c r="G192">
        <v>349212729</v>
      </c>
      <c r="H192" t="s">
        <v>438</v>
      </c>
      <c r="I192">
        <v>8662</v>
      </c>
      <c r="J192">
        <v>421.89</v>
      </c>
      <c r="K192">
        <v>364.69</v>
      </c>
      <c r="L192">
        <v>3654411.18</v>
      </c>
      <c r="M192">
        <v>3158944.78</v>
      </c>
      <c r="N192">
        <v>495466.4</v>
      </c>
    </row>
    <row r="193" spans="1:14" x14ac:dyDescent="0.3">
      <c r="A193" t="s">
        <v>14</v>
      </c>
      <c r="B193" t="s">
        <v>135</v>
      </c>
      <c r="C193" t="s">
        <v>75</v>
      </c>
      <c r="D193" t="s">
        <v>23</v>
      </c>
      <c r="E193" t="s">
        <v>54</v>
      </c>
      <c r="F193" t="s">
        <v>439</v>
      </c>
      <c r="G193">
        <v>332353007</v>
      </c>
      <c r="H193" t="s">
        <v>440</v>
      </c>
      <c r="I193">
        <v>9495</v>
      </c>
      <c r="J193">
        <v>437.2</v>
      </c>
      <c r="K193">
        <v>263.33</v>
      </c>
      <c r="L193">
        <v>4151214</v>
      </c>
      <c r="M193">
        <v>2500318.35</v>
      </c>
      <c r="N193">
        <v>1650895.65</v>
      </c>
    </row>
    <row r="194" spans="1:14" x14ac:dyDescent="0.3">
      <c r="A194" t="s">
        <v>14</v>
      </c>
      <c r="B194" t="s">
        <v>243</v>
      </c>
      <c r="C194" t="s">
        <v>50</v>
      </c>
      <c r="D194" t="s">
        <v>17</v>
      </c>
      <c r="E194" t="s">
        <v>54</v>
      </c>
      <c r="F194" t="s">
        <v>441</v>
      </c>
      <c r="G194">
        <v>876856458</v>
      </c>
      <c r="H194" t="s">
        <v>442</v>
      </c>
      <c r="I194">
        <v>166</v>
      </c>
      <c r="J194">
        <v>421.89</v>
      </c>
      <c r="K194">
        <v>364.69</v>
      </c>
      <c r="L194">
        <v>70033.740000000005</v>
      </c>
      <c r="M194">
        <v>60538.54</v>
      </c>
      <c r="N194">
        <v>9495.2000000000007</v>
      </c>
    </row>
    <row r="195" spans="1:14" x14ac:dyDescent="0.3">
      <c r="A195" t="s">
        <v>14</v>
      </c>
      <c r="B195" t="s">
        <v>31</v>
      </c>
      <c r="C195" t="s">
        <v>16</v>
      </c>
      <c r="D195" t="s">
        <v>17</v>
      </c>
      <c r="E195" t="s">
        <v>18</v>
      </c>
      <c r="F195" t="s">
        <v>443</v>
      </c>
      <c r="G195">
        <v>313178002</v>
      </c>
      <c r="H195" t="s">
        <v>444</v>
      </c>
      <c r="I195">
        <v>5185</v>
      </c>
      <c r="J195">
        <v>47.45</v>
      </c>
      <c r="K195">
        <v>31.79</v>
      </c>
      <c r="L195">
        <v>246028.25</v>
      </c>
      <c r="M195">
        <v>164831.15</v>
      </c>
      <c r="N195">
        <v>81197.100000000006</v>
      </c>
    </row>
    <row r="196" spans="1:14" x14ac:dyDescent="0.3">
      <c r="A196" t="s">
        <v>14</v>
      </c>
      <c r="B196" t="s">
        <v>132</v>
      </c>
      <c r="C196" t="s">
        <v>102</v>
      </c>
      <c r="D196" t="s">
        <v>23</v>
      </c>
      <c r="E196" t="s">
        <v>33</v>
      </c>
      <c r="F196" t="s">
        <v>445</v>
      </c>
      <c r="G196">
        <v>461445796</v>
      </c>
      <c r="H196" t="s">
        <v>446</v>
      </c>
      <c r="I196">
        <v>920</v>
      </c>
      <c r="J196">
        <v>81.73</v>
      </c>
      <c r="K196">
        <v>56.67</v>
      </c>
      <c r="L196">
        <v>75191.600000000006</v>
      </c>
      <c r="M196">
        <v>52136.4</v>
      </c>
      <c r="N196">
        <v>23055.200000000001</v>
      </c>
    </row>
    <row r="197" spans="1:14" x14ac:dyDescent="0.3">
      <c r="A197" t="s">
        <v>14</v>
      </c>
      <c r="B197" t="s">
        <v>166</v>
      </c>
      <c r="C197" t="s">
        <v>75</v>
      </c>
      <c r="D197" t="s">
        <v>17</v>
      </c>
      <c r="E197" t="s">
        <v>18</v>
      </c>
      <c r="F197" t="s">
        <v>447</v>
      </c>
      <c r="G197">
        <v>391026866</v>
      </c>
      <c r="H197" t="s">
        <v>448</v>
      </c>
      <c r="I197">
        <v>2394</v>
      </c>
      <c r="J197">
        <v>437.2</v>
      </c>
      <c r="K197">
        <v>263.33</v>
      </c>
      <c r="L197">
        <v>1046656.8</v>
      </c>
      <c r="M197">
        <v>630412.02</v>
      </c>
      <c r="N197">
        <v>416244.78</v>
      </c>
    </row>
    <row r="198" spans="1:14" x14ac:dyDescent="0.3">
      <c r="A198" t="s">
        <v>14</v>
      </c>
      <c r="B198" t="s">
        <v>196</v>
      </c>
      <c r="C198" t="s">
        <v>46</v>
      </c>
      <c r="D198" t="s">
        <v>17</v>
      </c>
      <c r="E198" t="s">
        <v>18</v>
      </c>
      <c r="F198" t="s">
        <v>449</v>
      </c>
      <c r="G198">
        <v>204418504</v>
      </c>
      <c r="H198" t="s">
        <v>450</v>
      </c>
      <c r="I198">
        <v>833</v>
      </c>
      <c r="J198">
        <v>154.06</v>
      </c>
      <c r="K198">
        <v>90.93</v>
      </c>
      <c r="L198">
        <v>128331.98</v>
      </c>
      <c r="M198">
        <v>75744.69</v>
      </c>
      <c r="N198">
        <v>52587.29</v>
      </c>
    </row>
    <row r="199" spans="1:14" x14ac:dyDescent="0.3">
      <c r="A199" t="s">
        <v>14</v>
      </c>
      <c r="B199" t="s">
        <v>342</v>
      </c>
      <c r="C199" t="s">
        <v>50</v>
      </c>
      <c r="D199" t="s">
        <v>17</v>
      </c>
      <c r="E199" t="s">
        <v>33</v>
      </c>
      <c r="F199" t="s">
        <v>451</v>
      </c>
      <c r="G199">
        <v>524972951</v>
      </c>
      <c r="H199" t="s">
        <v>452</v>
      </c>
      <c r="I199">
        <v>17</v>
      </c>
      <c r="J199">
        <v>421.89</v>
      </c>
      <c r="K199">
        <v>364.69</v>
      </c>
      <c r="L199">
        <v>7172.13</v>
      </c>
      <c r="M199">
        <v>6199.73</v>
      </c>
      <c r="N199">
        <v>972.4</v>
      </c>
    </row>
    <row r="200" spans="1:14" x14ac:dyDescent="0.3">
      <c r="A200" t="s">
        <v>14</v>
      </c>
      <c r="B200" t="s">
        <v>80</v>
      </c>
      <c r="C200" t="s">
        <v>16</v>
      </c>
      <c r="D200" t="s">
        <v>23</v>
      </c>
      <c r="E200" t="s">
        <v>18</v>
      </c>
      <c r="F200" t="s">
        <v>453</v>
      </c>
      <c r="G200">
        <v>469197165</v>
      </c>
      <c r="H200" t="s">
        <v>454</v>
      </c>
      <c r="I200">
        <v>4723</v>
      </c>
      <c r="J200">
        <v>47.45</v>
      </c>
      <c r="K200">
        <v>31.79</v>
      </c>
      <c r="L200">
        <v>224106.35</v>
      </c>
      <c r="M200">
        <v>150144.17000000001</v>
      </c>
      <c r="N200">
        <v>73962.179999999993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73FE-C95B-4A50-8335-676CB8493ECD}">
  <dimension ref="A1:O100"/>
  <sheetViews>
    <sheetView zoomScale="103" workbookViewId="0">
      <selection activeCell="O6" sqref="O6"/>
    </sheetView>
  </sheetViews>
  <sheetFormatPr defaultColWidth="10.77734375" defaultRowHeight="14.4" x14ac:dyDescent="0.3"/>
  <cols>
    <col min="1" max="4" width="13.77734375" style="4" customWidth="1"/>
    <col min="5" max="5" width="16.77734375" style="4" customWidth="1"/>
    <col min="6" max="8" width="13.77734375" style="4" customWidth="1"/>
    <col min="9" max="9" width="10.77734375" style="4"/>
    <col min="10" max="10" width="13.77734375" style="4" customWidth="1"/>
    <col min="11" max="11" width="10.88671875" style="4" customWidth="1"/>
    <col min="12" max="12" width="13.5546875" style="4" customWidth="1"/>
    <col min="13" max="13" width="12.21875" style="4" customWidth="1"/>
    <col min="14" max="14" width="13.77734375" style="4" customWidth="1"/>
    <col min="15" max="15" width="19.77734375" bestFit="1" customWidth="1"/>
  </cols>
  <sheetData>
    <row r="1" spans="1:15" x14ac:dyDescent="0.3">
      <c r="A1" s="4" t="s">
        <v>6</v>
      </c>
      <c r="B1" s="4" t="s">
        <v>5</v>
      </c>
      <c r="C1" s="4" t="s">
        <v>7</v>
      </c>
      <c r="D1" s="4" t="s">
        <v>0</v>
      </c>
      <c r="E1" s="4" t="s">
        <v>1</v>
      </c>
      <c r="F1" s="4" t="s">
        <v>459</v>
      </c>
      <c r="G1" s="4" t="s">
        <v>3</v>
      </c>
      <c r="H1" s="4" t="s">
        <v>4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460</v>
      </c>
    </row>
    <row r="2" spans="1:15" x14ac:dyDescent="0.3">
      <c r="A2" s="4">
        <v>298228013</v>
      </c>
      <c r="B2" s="5" t="s">
        <v>170</v>
      </c>
      <c r="C2" s="5" t="s">
        <v>171</v>
      </c>
      <c r="D2" s="5" t="s">
        <v>14</v>
      </c>
      <c r="E2" s="5" t="s">
        <v>169</v>
      </c>
      <c r="F2" s="5" t="s">
        <v>46</v>
      </c>
      <c r="G2" s="5" t="s">
        <v>23</v>
      </c>
      <c r="H2" s="5" t="s">
        <v>455</v>
      </c>
      <c r="I2" s="47">
        <v>1151</v>
      </c>
      <c r="J2" s="6">
        <v>154.06</v>
      </c>
      <c r="K2" s="6">
        <v>90.93</v>
      </c>
      <c r="L2" s="6">
        <v>177323.06</v>
      </c>
      <c r="M2" s="6">
        <v>104660.43</v>
      </c>
      <c r="N2" s="6">
        <v>72662.63</v>
      </c>
      <c r="O2" s="6" t="str">
        <f>TRIM(Europe_Sales_Records__2[[#This Row],[Product Type]])</f>
        <v>Vegetables</v>
      </c>
    </row>
    <row r="3" spans="1:15" x14ac:dyDescent="0.3">
      <c r="A3" s="4">
        <v>697638976</v>
      </c>
      <c r="B3" s="5" t="s">
        <v>431</v>
      </c>
      <c r="C3" s="5" t="s">
        <v>432</v>
      </c>
      <c r="D3" s="5" t="s">
        <v>14</v>
      </c>
      <c r="E3" s="5" t="s">
        <v>83</v>
      </c>
      <c r="F3" s="5" t="s">
        <v>46</v>
      </c>
      <c r="G3" s="5" t="s">
        <v>17</v>
      </c>
      <c r="H3" s="5" t="s">
        <v>456</v>
      </c>
      <c r="I3" s="47">
        <v>5731</v>
      </c>
      <c r="J3" s="6">
        <v>154.06</v>
      </c>
      <c r="K3" s="6">
        <v>90.93</v>
      </c>
      <c r="L3" s="6">
        <v>882917.86</v>
      </c>
      <c r="M3" s="6">
        <v>521119.83</v>
      </c>
      <c r="N3" s="6">
        <v>361798.03</v>
      </c>
      <c r="O3" s="6" t="str">
        <f>TRIM(Europe_Sales_Records__2[[#This Row],[Product Type]])</f>
        <v>Vegetables</v>
      </c>
    </row>
    <row r="4" spans="1:15" x14ac:dyDescent="0.3">
      <c r="A4" s="4">
        <v>810752236</v>
      </c>
      <c r="B4" s="5" t="s">
        <v>315</v>
      </c>
      <c r="C4" s="5" t="s">
        <v>316</v>
      </c>
      <c r="D4" s="5" t="s">
        <v>14</v>
      </c>
      <c r="E4" s="5" t="s">
        <v>146</v>
      </c>
      <c r="F4" s="5" t="s">
        <v>46</v>
      </c>
      <c r="G4" s="5" t="s">
        <v>23</v>
      </c>
      <c r="H4" s="5" t="s">
        <v>456</v>
      </c>
      <c r="I4" s="47">
        <v>8458</v>
      </c>
      <c r="J4" s="6">
        <v>154.06</v>
      </c>
      <c r="K4" s="6">
        <v>90.93</v>
      </c>
      <c r="L4" s="6">
        <v>1303039.48</v>
      </c>
      <c r="M4" s="6">
        <v>769085.94</v>
      </c>
      <c r="N4" s="6">
        <v>533953.54</v>
      </c>
      <c r="O4" s="6" t="str">
        <f>TRIM(Europe_Sales_Records__2[[#This Row],[Product Type]])</f>
        <v>Vegetables</v>
      </c>
    </row>
    <row r="5" spans="1:15" x14ac:dyDescent="0.3">
      <c r="A5" s="4">
        <v>743769109</v>
      </c>
      <c r="B5" s="5" t="s">
        <v>405</v>
      </c>
      <c r="C5" s="5" t="s">
        <v>406</v>
      </c>
      <c r="D5" s="5" t="s">
        <v>14</v>
      </c>
      <c r="E5" s="5" t="s">
        <v>100</v>
      </c>
      <c r="F5" s="5" t="s">
        <v>46</v>
      </c>
      <c r="G5" s="5" t="s">
        <v>23</v>
      </c>
      <c r="H5" s="5" t="s">
        <v>457</v>
      </c>
      <c r="I5" s="47">
        <v>6662</v>
      </c>
      <c r="J5" s="6">
        <v>154.06</v>
      </c>
      <c r="K5" s="6">
        <v>90.93</v>
      </c>
      <c r="L5" s="6">
        <v>1026347.72</v>
      </c>
      <c r="M5" s="6">
        <v>605775.66</v>
      </c>
      <c r="N5" s="6">
        <v>420572.06</v>
      </c>
      <c r="O5" s="6" t="str">
        <f>TRIM(Europe_Sales_Records__2[[#This Row],[Product Type]])</f>
        <v>Vegetables</v>
      </c>
    </row>
    <row r="6" spans="1:15" x14ac:dyDescent="0.3">
      <c r="A6" s="4">
        <v>894589078</v>
      </c>
      <c r="B6" s="5" t="s">
        <v>101</v>
      </c>
      <c r="C6" s="5" t="s">
        <v>52</v>
      </c>
      <c r="D6" s="5" t="s">
        <v>14</v>
      </c>
      <c r="E6" s="5" t="s">
        <v>100</v>
      </c>
      <c r="F6" s="5" t="s">
        <v>46</v>
      </c>
      <c r="G6" s="5" t="s">
        <v>23</v>
      </c>
      <c r="H6" s="5" t="s">
        <v>457</v>
      </c>
      <c r="I6" s="47">
        <v>7643</v>
      </c>
      <c r="J6" s="6">
        <v>154.06</v>
      </c>
      <c r="K6" s="6">
        <v>90.93</v>
      </c>
      <c r="L6" s="6">
        <v>1177480.58</v>
      </c>
      <c r="M6" s="6">
        <v>694977.99</v>
      </c>
      <c r="N6" s="6">
        <v>482502.59</v>
      </c>
      <c r="O6" s="6" t="str">
        <f>TRIM(Europe_Sales_Records__2[[#This Row],[Product Type]])</f>
        <v>Vegetables</v>
      </c>
    </row>
    <row r="7" spans="1:15" x14ac:dyDescent="0.3">
      <c r="A7" s="4">
        <v>744683635</v>
      </c>
      <c r="B7" s="5" t="s">
        <v>47</v>
      </c>
      <c r="C7" s="5" t="s">
        <v>48</v>
      </c>
      <c r="D7" s="5" t="s">
        <v>14</v>
      </c>
      <c r="E7" s="5" t="s">
        <v>45</v>
      </c>
      <c r="F7" s="5" t="s">
        <v>46</v>
      </c>
      <c r="G7" s="5" t="s">
        <v>17</v>
      </c>
      <c r="H7" s="5" t="s">
        <v>456</v>
      </c>
      <c r="I7" s="47">
        <v>7291</v>
      </c>
      <c r="J7" s="6">
        <v>154.06</v>
      </c>
      <c r="K7" s="6">
        <v>90.93</v>
      </c>
      <c r="L7" s="6">
        <v>1123251.46</v>
      </c>
      <c r="M7" s="6">
        <v>662970.63</v>
      </c>
      <c r="N7" s="6">
        <v>460280.83</v>
      </c>
      <c r="O7" s="6" t="str">
        <f>TRIM(Europe_Sales_Records__2[[#This Row],[Product Type]])</f>
        <v>Vegetables</v>
      </c>
    </row>
    <row r="8" spans="1:15" x14ac:dyDescent="0.3">
      <c r="A8" s="4">
        <v>818976962</v>
      </c>
      <c r="B8" s="5" t="s">
        <v>157</v>
      </c>
      <c r="C8" s="5" t="s">
        <v>158</v>
      </c>
      <c r="D8" s="5" t="s">
        <v>14</v>
      </c>
      <c r="E8" s="5" t="s">
        <v>132</v>
      </c>
      <c r="F8" s="5" t="s">
        <v>46</v>
      </c>
      <c r="G8" s="5" t="s">
        <v>17</v>
      </c>
      <c r="H8" s="5" t="s">
        <v>458</v>
      </c>
      <c r="I8" s="47">
        <v>2337</v>
      </c>
      <c r="J8" s="6">
        <v>154.06</v>
      </c>
      <c r="K8" s="6">
        <v>90.93</v>
      </c>
      <c r="L8" s="6">
        <v>360038.22</v>
      </c>
      <c r="M8" s="6">
        <v>212503.41</v>
      </c>
      <c r="N8" s="6">
        <v>147534.81</v>
      </c>
      <c r="O8" s="6" t="str">
        <f>TRIM(Europe_Sales_Records__2[[#This Row],[Product Type]])</f>
        <v>Vegetables</v>
      </c>
    </row>
    <row r="9" spans="1:15" x14ac:dyDescent="0.3">
      <c r="A9" s="4">
        <v>901670968</v>
      </c>
      <c r="B9" s="5" t="s">
        <v>272</v>
      </c>
      <c r="C9" s="5" t="s">
        <v>273</v>
      </c>
      <c r="D9" s="5" t="s">
        <v>14</v>
      </c>
      <c r="E9" s="5" t="s">
        <v>271</v>
      </c>
      <c r="F9" s="5" t="s">
        <v>46</v>
      </c>
      <c r="G9" s="5" t="s">
        <v>17</v>
      </c>
      <c r="H9" s="5" t="s">
        <v>458</v>
      </c>
      <c r="I9" s="47">
        <v>3331</v>
      </c>
      <c r="J9" s="6">
        <v>154.06</v>
      </c>
      <c r="K9" s="6">
        <v>90.93</v>
      </c>
      <c r="L9" s="6">
        <v>513173.86</v>
      </c>
      <c r="M9" s="6">
        <v>302887.83</v>
      </c>
      <c r="N9" s="6">
        <v>210286.03</v>
      </c>
      <c r="O9" s="6" t="str">
        <f>TRIM(Europe_Sales_Records__2[[#This Row],[Product Type]])</f>
        <v>Vegetables</v>
      </c>
    </row>
    <row r="10" spans="1:15" x14ac:dyDescent="0.3">
      <c r="A10" s="4">
        <v>204418504</v>
      </c>
      <c r="B10" s="5" t="s">
        <v>449</v>
      </c>
      <c r="C10" s="5" t="s">
        <v>450</v>
      </c>
      <c r="D10" s="5" t="s">
        <v>14</v>
      </c>
      <c r="E10" s="5" t="s">
        <v>196</v>
      </c>
      <c r="F10" s="5" t="s">
        <v>46</v>
      </c>
      <c r="G10" s="5" t="s">
        <v>17</v>
      </c>
      <c r="H10" s="5" t="s">
        <v>458</v>
      </c>
      <c r="I10" s="47">
        <v>833</v>
      </c>
      <c r="J10" s="6">
        <v>154.06</v>
      </c>
      <c r="K10" s="6">
        <v>90.93</v>
      </c>
      <c r="L10" s="6">
        <v>128331.98</v>
      </c>
      <c r="M10" s="6">
        <v>75744.69</v>
      </c>
      <c r="N10" s="6">
        <v>52587.29</v>
      </c>
      <c r="O10" s="6" t="str">
        <f>TRIM(Europe_Sales_Records__2[[#This Row],[Product Type]])</f>
        <v>Vegetables</v>
      </c>
    </row>
    <row r="11" spans="1:15" x14ac:dyDescent="0.3">
      <c r="A11" s="4">
        <v>455040681</v>
      </c>
      <c r="B11" s="5" t="s">
        <v>355</v>
      </c>
      <c r="C11" s="5" t="s">
        <v>356</v>
      </c>
      <c r="D11" s="5" t="s">
        <v>14</v>
      </c>
      <c r="E11" s="5" t="s">
        <v>163</v>
      </c>
      <c r="F11" s="5" t="s">
        <v>46</v>
      </c>
      <c r="G11" s="5" t="s">
        <v>17</v>
      </c>
      <c r="H11" s="5" t="s">
        <v>456</v>
      </c>
      <c r="I11" s="47">
        <v>5504</v>
      </c>
      <c r="J11" s="6">
        <v>154.06</v>
      </c>
      <c r="K11" s="6">
        <v>90.93</v>
      </c>
      <c r="L11" s="6">
        <v>847946.23999999999</v>
      </c>
      <c r="M11" s="6">
        <v>500478.71999999997</v>
      </c>
      <c r="N11" s="6">
        <v>347467.52000000002</v>
      </c>
      <c r="O11" s="6" t="str">
        <f>TRIM(Europe_Sales_Records__2[[#This Row],[Product Type]])</f>
        <v>Vegetables</v>
      </c>
    </row>
    <row r="12" spans="1:15" x14ac:dyDescent="0.3">
      <c r="A12" s="4">
        <v>771674382</v>
      </c>
      <c r="B12" s="5" t="s">
        <v>130</v>
      </c>
      <c r="C12" s="5" t="s">
        <v>131</v>
      </c>
      <c r="D12" s="5" t="s">
        <v>14</v>
      </c>
      <c r="E12" s="5" t="s">
        <v>53</v>
      </c>
      <c r="F12" s="5" t="s">
        <v>46</v>
      </c>
      <c r="G12" s="5" t="s">
        <v>17</v>
      </c>
      <c r="H12" s="5" t="s">
        <v>456</v>
      </c>
      <c r="I12" s="47">
        <v>4453</v>
      </c>
      <c r="J12" s="6">
        <v>154.06</v>
      </c>
      <c r="K12" s="6">
        <v>90.93</v>
      </c>
      <c r="L12" s="6">
        <v>686029.18</v>
      </c>
      <c r="M12" s="6">
        <v>404911.29</v>
      </c>
      <c r="N12" s="6">
        <v>281117.89</v>
      </c>
      <c r="O12" s="6" t="str">
        <f>TRIM(Europe_Sales_Records__2[[#This Row],[Product Type]])</f>
        <v>Vegetables</v>
      </c>
    </row>
    <row r="13" spans="1:15" x14ac:dyDescent="0.3">
      <c r="A13" s="4">
        <v>800352561</v>
      </c>
      <c r="B13" s="5" t="s">
        <v>228</v>
      </c>
      <c r="C13" s="5" t="s">
        <v>229</v>
      </c>
      <c r="D13" s="5" t="s">
        <v>14</v>
      </c>
      <c r="E13" s="5" t="s">
        <v>53</v>
      </c>
      <c r="F13" s="5" t="s">
        <v>46</v>
      </c>
      <c r="G13" s="5" t="s">
        <v>23</v>
      </c>
      <c r="H13" s="5" t="s">
        <v>455</v>
      </c>
      <c r="I13" s="47">
        <v>963</v>
      </c>
      <c r="J13" s="6">
        <v>154.06</v>
      </c>
      <c r="K13" s="6">
        <v>90.93</v>
      </c>
      <c r="L13" s="6">
        <v>148359.78</v>
      </c>
      <c r="M13" s="6">
        <v>87565.59</v>
      </c>
      <c r="N13" s="6">
        <v>60794.19</v>
      </c>
      <c r="O13" s="6" t="str">
        <f>TRIM(Europe_Sales_Records__2[[#This Row],[Product Type]])</f>
        <v>Vegetables</v>
      </c>
    </row>
    <row r="14" spans="1:15" x14ac:dyDescent="0.3">
      <c r="A14" s="4">
        <v>727997720</v>
      </c>
      <c r="B14" s="5" t="s">
        <v>144</v>
      </c>
      <c r="C14" s="5" t="s">
        <v>145</v>
      </c>
      <c r="D14" s="5" t="s">
        <v>14</v>
      </c>
      <c r="E14" s="5" t="s">
        <v>105</v>
      </c>
      <c r="F14" s="5" t="s">
        <v>46</v>
      </c>
      <c r="G14" s="5" t="s">
        <v>17</v>
      </c>
      <c r="H14" s="5" t="s">
        <v>458</v>
      </c>
      <c r="I14" s="47">
        <v>9558</v>
      </c>
      <c r="J14" s="6">
        <v>154.06</v>
      </c>
      <c r="K14" s="6">
        <v>90.93</v>
      </c>
      <c r="L14" s="6">
        <v>1472505.48</v>
      </c>
      <c r="M14" s="6">
        <v>869108.94</v>
      </c>
      <c r="N14" s="6">
        <v>603396.54</v>
      </c>
      <c r="O14" s="6" t="str">
        <f>TRIM(Europe_Sales_Records__2[[#This Row],[Product Type]])</f>
        <v>Vegetables</v>
      </c>
    </row>
    <row r="15" spans="1:15" x14ac:dyDescent="0.3">
      <c r="A15" s="4">
        <v>394110763</v>
      </c>
      <c r="B15" s="5" t="s">
        <v>192</v>
      </c>
      <c r="C15" s="5" t="s">
        <v>193</v>
      </c>
      <c r="D15" s="5" t="s">
        <v>14</v>
      </c>
      <c r="E15" s="5" t="s">
        <v>57</v>
      </c>
      <c r="F15" s="5" t="s">
        <v>46</v>
      </c>
      <c r="G15" s="5" t="s">
        <v>17</v>
      </c>
      <c r="H15" s="5" t="s">
        <v>458</v>
      </c>
      <c r="I15" s="47">
        <v>4988</v>
      </c>
      <c r="J15" s="6">
        <v>154.06</v>
      </c>
      <c r="K15" s="6">
        <v>90.93</v>
      </c>
      <c r="L15" s="6">
        <v>768451.28</v>
      </c>
      <c r="M15" s="6">
        <v>453558.84</v>
      </c>
      <c r="N15" s="6">
        <v>314892.44</v>
      </c>
      <c r="O15" s="6" t="str">
        <f>TRIM(Europe_Sales_Records__2[[#This Row],[Product Type]])</f>
        <v>Vegetables</v>
      </c>
    </row>
    <row r="16" spans="1:15" x14ac:dyDescent="0.3">
      <c r="A16" s="4">
        <v>413078916</v>
      </c>
      <c r="B16" s="5" t="s">
        <v>265</v>
      </c>
      <c r="C16" s="5" t="s">
        <v>266</v>
      </c>
      <c r="D16" s="5" t="s">
        <v>14</v>
      </c>
      <c r="E16" s="5" t="s">
        <v>264</v>
      </c>
      <c r="F16" s="5" t="s">
        <v>46</v>
      </c>
      <c r="G16" s="5" t="s">
        <v>23</v>
      </c>
      <c r="H16" s="5" t="s">
        <v>456</v>
      </c>
      <c r="I16" s="47">
        <v>8086</v>
      </c>
      <c r="J16" s="6">
        <v>154.06</v>
      </c>
      <c r="K16" s="6">
        <v>90.93</v>
      </c>
      <c r="L16" s="6">
        <v>1245729.1599999999</v>
      </c>
      <c r="M16" s="6">
        <v>735259.98</v>
      </c>
      <c r="N16" s="6">
        <v>510469.18</v>
      </c>
      <c r="O16" s="6" t="str">
        <f>TRIM(Europe_Sales_Records__2[[#This Row],[Product Type]])</f>
        <v>Vegetables</v>
      </c>
    </row>
    <row r="17" spans="1:15" x14ac:dyDescent="0.3">
      <c r="A17" s="4">
        <v>571323239</v>
      </c>
      <c r="B17" s="5" t="s">
        <v>305</v>
      </c>
      <c r="C17" s="5" t="s">
        <v>306</v>
      </c>
      <c r="D17" s="5" t="s">
        <v>14</v>
      </c>
      <c r="E17" s="5" t="s">
        <v>122</v>
      </c>
      <c r="F17" s="5" t="s">
        <v>46</v>
      </c>
      <c r="G17" s="5" t="s">
        <v>23</v>
      </c>
      <c r="H17" s="5" t="s">
        <v>457</v>
      </c>
      <c r="I17" s="47">
        <v>6097</v>
      </c>
      <c r="J17" s="6">
        <v>154.06</v>
      </c>
      <c r="K17" s="6">
        <v>90.93</v>
      </c>
      <c r="L17" s="6">
        <v>939303.82</v>
      </c>
      <c r="M17" s="6">
        <v>554400.21</v>
      </c>
      <c r="N17" s="6">
        <v>384903.61</v>
      </c>
      <c r="O17" s="6" t="str">
        <f>TRIM(Europe_Sales_Records__2[[#This Row],[Product Type]])</f>
        <v>Vegetables</v>
      </c>
    </row>
    <row r="18" spans="1:15" x14ac:dyDescent="0.3">
      <c r="A18" s="4">
        <v>476633536</v>
      </c>
      <c r="B18" s="5" t="s">
        <v>142</v>
      </c>
      <c r="C18" s="5" t="s">
        <v>143</v>
      </c>
      <c r="D18" s="5" t="s">
        <v>14</v>
      </c>
      <c r="E18" s="5" t="s">
        <v>141</v>
      </c>
      <c r="F18" s="5" t="s">
        <v>46</v>
      </c>
      <c r="G18" s="5" t="s">
        <v>23</v>
      </c>
      <c r="H18" s="5" t="s">
        <v>458</v>
      </c>
      <c r="I18" s="47">
        <v>5310</v>
      </c>
      <c r="J18" s="6">
        <v>154.06</v>
      </c>
      <c r="K18" s="6">
        <v>90.93</v>
      </c>
      <c r="L18" s="6">
        <v>818058.6</v>
      </c>
      <c r="M18" s="6">
        <v>482838.3</v>
      </c>
      <c r="N18" s="6">
        <v>335220.3</v>
      </c>
      <c r="O18" s="6" t="str">
        <f>TRIM(Europe_Sales_Records__2[[#This Row],[Product Type]])</f>
        <v>Vegetables</v>
      </c>
    </row>
    <row r="19" spans="1:15" x14ac:dyDescent="0.3">
      <c r="A19" s="4">
        <v>138025033</v>
      </c>
      <c r="B19" s="5" t="s">
        <v>417</v>
      </c>
      <c r="C19" s="5" t="s">
        <v>418</v>
      </c>
      <c r="D19" s="5" t="s">
        <v>14</v>
      </c>
      <c r="E19" s="5" t="s">
        <v>94</v>
      </c>
      <c r="F19" s="5" t="s">
        <v>58</v>
      </c>
      <c r="G19" s="5" t="s">
        <v>23</v>
      </c>
      <c r="H19" s="5" t="s">
        <v>456</v>
      </c>
      <c r="I19" s="47">
        <v>3529</v>
      </c>
      <c r="J19" s="6">
        <v>152.58000000000001</v>
      </c>
      <c r="K19" s="6">
        <v>97.44</v>
      </c>
      <c r="L19" s="6">
        <v>538454.81999999995</v>
      </c>
      <c r="M19" s="6">
        <v>343865.76</v>
      </c>
      <c r="N19" s="6">
        <v>194589.06</v>
      </c>
      <c r="O19" s="6" t="str">
        <f>TRIM(Europe_Sales_Records__2[[#This Row],[Product Type]])</f>
        <v>Snacks</v>
      </c>
    </row>
    <row r="20" spans="1:15" x14ac:dyDescent="0.3">
      <c r="A20" s="4">
        <v>611791121</v>
      </c>
      <c r="B20" s="5" t="s">
        <v>388</v>
      </c>
      <c r="C20" s="5" t="s">
        <v>389</v>
      </c>
      <c r="D20" s="5" t="s">
        <v>14</v>
      </c>
      <c r="E20" s="5" t="s">
        <v>74</v>
      </c>
      <c r="F20" s="5" t="s">
        <v>58</v>
      </c>
      <c r="G20" s="5" t="s">
        <v>17</v>
      </c>
      <c r="H20" s="5" t="s">
        <v>458</v>
      </c>
      <c r="I20" s="47">
        <v>1443</v>
      </c>
      <c r="J20" s="6">
        <v>152.58000000000001</v>
      </c>
      <c r="K20" s="6">
        <v>97.44</v>
      </c>
      <c r="L20" s="6">
        <v>220172.94</v>
      </c>
      <c r="M20" s="6">
        <v>140605.92000000001</v>
      </c>
      <c r="N20" s="6">
        <v>79567.02</v>
      </c>
      <c r="O20" s="6" t="str">
        <f>TRIM(Europe_Sales_Records__2[[#This Row],[Product Type]])</f>
        <v>Snacks</v>
      </c>
    </row>
    <row r="21" spans="1:15" x14ac:dyDescent="0.3">
      <c r="A21" s="4">
        <v>637040793</v>
      </c>
      <c r="B21" s="5" t="s">
        <v>427</v>
      </c>
      <c r="C21" s="5" t="s">
        <v>428</v>
      </c>
      <c r="D21" s="5" t="s">
        <v>14</v>
      </c>
      <c r="E21" s="5" t="s">
        <v>243</v>
      </c>
      <c r="F21" s="5" t="s">
        <v>58</v>
      </c>
      <c r="G21" s="5" t="s">
        <v>23</v>
      </c>
      <c r="H21" s="5" t="s">
        <v>456</v>
      </c>
      <c r="I21" s="47">
        <v>3382</v>
      </c>
      <c r="J21" s="6">
        <v>152.58000000000001</v>
      </c>
      <c r="K21" s="6">
        <v>97.44</v>
      </c>
      <c r="L21" s="6">
        <v>516025.56</v>
      </c>
      <c r="M21" s="6">
        <v>329542.08</v>
      </c>
      <c r="N21" s="6">
        <v>186483.48</v>
      </c>
      <c r="O21" s="6" t="str">
        <f>TRIM(Europe_Sales_Records__2[[#This Row],[Product Type]])</f>
        <v>Snacks</v>
      </c>
    </row>
    <row r="22" spans="1:15" x14ac:dyDescent="0.3">
      <c r="A22" s="4">
        <v>201294267</v>
      </c>
      <c r="B22" s="5" t="s">
        <v>407</v>
      </c>
      <c r="C22" s="5" t="s">
        <v>408</v>
      </c>
      <c r="D22" s="5" t="s">
        <v>14</v>
      </c>
      <c r="E22" s="5" t="s">
        <v>61</v>
      </c>
      <c r="F22" s="5" t="s">
        <v>58</v>
      </c>
      <c r="G22" s="5" t="s">
        <v>17</v>
      </c>
      <c r="H22" s="5" t="s">
        <v>456</v>
      </c>
      <c r="I22" s="47">
        <v>6302</v>
      </c>
      <c r="J22" s="6">
        <v>152.58000000000001</v>
      </c>
      <c r="K22" s="6">
        <v>97.44</v>
      </c>
      <c r="L22" s="6">
        <v>961559.16</v>
      </c>
      <c r="M22" s="6">
        <v>614066.88</v>
      </c>
      <c r="N22" s="6">
        <v>347492.28</v>
      </c>
      <c r="O22" s="6" t="str">
        <f>TRIM(Europe_Sales_Records__2[[#This Row],[Product Type]])</f>
        <v>Snacks</v>
      </c>
    </row>
    <row r="23" spans="1:15" x14ac:dyDescent="0.3">
      <c r="A23" s="4">
        <v>747327220</v>
      </c>
      <c r="B23" s="5" t="s">
        <v>211</v>
      </c>
      <c r="C23" s="5" t="s">
        <v>343</v>
      </c>
      <c r="D23" s="5" t="s">
        <v>14</v>
      </c>
      <c r="E23" s="5" t="s">
        <v>342</v>
      </c>
      <c r="F23" s="5" t="s">
        <v>58</v>
      </c>
      <c r="G23" s="5" t="s">
        <v>23</v>
      </c>
      <c r="H23" s="5" t="s">
        <v>455</v>
      </c>
      <c r="I23" s="47">
        <v>9587</v>
      </c>
      <c r="J23" s="6">
        <v>152.58000000000001</v>
      </c>
      <c r="K23" s="6">
        <v>97.44</v>
      </c>
      <c r="L23" s="6">
        <v>1462784.46</v>
      </c>
      <c r="M23" s="6">
        <v>934157.28</v>
      </c>
      <c r="N23" s="6">
        <v>528627.18000000005</v>
      </c>
      <c r="O23" s="6" t="str">
        <f>TRIM(Europe_Sales_Records__2[[#This Row],[Product Type]])</f>
        <v>Snacks</v>
      </c>
    </row>
    <row r="24" spans="1:15" x14ac:dyDescent="0.3">
      <c r="A24" s="4">
        <v>510956799</v>
      </c>
      <c r="B24" s="5" t="s">
        <v>120</v>
      </c>
      <c r="C24" s="5" t="s">
        <v>121</v>
      </c>
      <c r="D24" s="5" t="s">
        <v>14</v>
      </c>
      <c r="E24" s="5" t="s">
        <v>45</v>
      </c>
      <c r="F24" s="5" t="s">
        <v>58</v>
      </c>
      <c r="G24" s="5" t="s">
        <v>23</v>
      </c>
      <c r="H24" s="5" t="s">
        <v>455</v>
      </c>
      <c r="I24" s="47">
        <v>2326</v>
      </c>
      <c r="J24" s="6">
        <v>152.58000000000001</v>
      </c>
      <c r="K24" s="6">
        <v>97.44</v>
      </c>
      <c r="L24" s="6">
        <v>354901.08</v>
      </c>
      <c r="M24" s="6">
        <v>226645.44</v>
      </c>
      <c r="N24" s="6">
        <v>128255.64</v>
      </c>
      <c r="O24" s="6" t="str">
        <f>TRIM(Europe_Sales_Records__2[[#This Row],[Product Type]])</f>
        <v>Snacks</v>
      </c>
    </row>
    <row r="25" spans="1:15" x14ac:dyDescent="0.3">
      <c r="A25" s="4">
        <v>977324712</v>
      </c>
      <c r="B25" s="5" t="s">
        <v>118</v>
      </c>
      <c r="C25" s="5" t="s">
        <v>119</v>
      </c>
      <c r="D25" s="5" t="s">
        <v>14</v>
      </c>
      <c r="E25" s="5" t="s">
        <v>45</v>
      </c>
      <c r="F25" s="5" t="s">
        <v>58</v>
      </c>
      <c r="G25" s="5" t="s">
        <v>23</v>
      </c>
      <c r="H25" s="5" t="s">
        <v>455</v>
      </c>
      <c r="I25" s="47">
        <v>955</v>
      </c>
      <c r="J25" s="6">
        <v>152.58000000000001</v>
      </c>
      <c r="K25" s="6">
        <v>97.44</v>
      </c>
      <c r="L25" s="6">
        <v>145713.9</v>
      </c>
      <c r="M25" s="6">
        <v>93055.2</v>
      </c>
      <c r="N25" s="6">
        <v>52658.7</v>
      </c>
      <c r="O25" s="6" t="str">
        <f>TRIM(Europe_Sales_Records__2[[#This Row],[Product Type]])</f>
        <v>Snacks</v>
      </c>
    </row>
    <row r="26" spans="1:15" x14ac:dyDescent="0.3">
      <c r="A26" s="4">
        <v>972981679</v>
      </c>
      <c r="B26" s="5" t="s">
        <v>172</v>
      </c>
      <c r="C26" s="5" t="s">
        <v>173</v>
      </c>
      <c r="D26" s="5" t="s">
        <v>14</v>
      </c>
      <c r="E26" s="5" t="s">
        <v>80</v>
      </c>
      <c r="F26" s="5" t="s">
        <v>58</v>
      </c>
      <c r="G26" s="5" t="s">
        <v>23</v>
      </c>
      <c r="H26" s="5" t="s">
        <v>458</v>
      </c>
      <c r="I26" s="47">
        <v>5755</v>
      </c>
      <c r="J26" s="6">
        <v>152.58000000000001</v>
      </c>
      <c r="K26" s="6">
        <v>97.44</v>
      </c>
      <c r="L26" s="6">
        <v>878097.9</v>
      </c>
      <c r="M26" s="6">
        <v>560767.19999999995</v>
      </c>
      <c r="N26" s="6">
        <v>317330.7</v>
      </c>
      <c r="O26" s="6" t="str">
        <f>TRIM(Europe_Sales_Records__2[[#This Row],[Product Type]])</f>
        <v>Snacks</v>
      </c>
    </row>
    <row r="27" spans="1:15" x14ac:dyDescent="0.3">
      <c r="A27" s="4">
        <v>464911210</v>
      </c>
      <c r="B27" s="5" t="s">
        <v>332</v>
      </c>
      <c r="C27" s="5" t="s">
        <v>333</v>
      </c>
      <c r="D27" s="5" t="s">
        <v>14</v>
      </c>
      <c r="E27" s="5" t="s">
        <v>185</v>
      </c>
      <c r="F27" s="5" t="s">
        <v>58</v>
      </c>
      <c r="G27" s="5" t="s">
        <v>17</v>
      </c>
      <c r="H27" s="5" t="s">
        <v>456</v>
      </c>
      <c r="I27" s="47">
        <v>6413</v>
      </c>
      <c r="J27" s="6">
        <v>152.58000000000001</v>
      </c>
      <c r="K27" s="6">
        <v>97.44</v>
      </c>
      <c r="L27" s="6">
        <v>978495.54</v>
      </c>
      <c r="M27" s="6">
        <v>624882.72</v>
      </c>
      <c r="N27" s="6">
        <v>353612.82</v>
      </c>
      <c r="O27" s="6" t="str">
        <f>TRIM(Europe_Sales_Records__2[[#This Row],[Product Type]])</f>
        <v>Snacks</v>
      </c>
    </row>
    <row r="28" spans="1:15" x14ac:dyDescent="0.3">
      <c r="A28" s="4">
        <v>281100928</v>
      </c>
      <c r="B28" s="5" t="s">
        <v>177</v>
      </c>
      <c r="C28" s="5" t="s">
        <v>143</v>
      </c>
      <c r="D28" s="5" t="s">
        <v>14</v>
      </c>
      <c r="E28" s="5" t="s">
        <v>185</v>
      </c>
      <c r="F28" s="5" t="s">
        <v>58</v>
      </c>
      <c r="G28" s="5" t="s">
        <v>23</v>
      </c>
      <c r="H28" s="5" t="s">
        <v>455</v>
      </c>
      <c r="I28" s="47">
        <v>2866</v>
      </c>
      <c r="J28" s="6">
        <v>152.58000000000001</v>
      </c>
      <c r="K28" s="6">
        <v>97.44</v>
      </c>
      <c r="L28" s="6">
        <v>437294.28</v>
      </c>
      <c r="M28" s="6">
        <v>279263.03999999998</v>
      </c>
      <c r="N28" s="6">
        <v>158031.24</v>
      </c>
      <c r="O28" s="6" t="str">
        <f>TRIM(Europe_Sales_Records__2[[#This Row],[Product Type]])</f>
        <v>Snacks</v>
      </c>
    </row>
    <row r="29" spans="1:15" x14ac:dyDescent="0.3">
      <c r="A29" s="4">
        <v>307721745</v>
      </c>
      <c r="B29" s="5" t="s">
        <v>267</v>
      </c>
      <c r="C29" s="5" t="s">
        <v>268</v>
      </c>
      <c r="D29" s="5" t="s">
        <v>14</v>
      </c>
      <c r="E29" s="5" t="s">
        <v>185</v>
      </c>
      <c r="F29" s="5" t="s">
        <v>58</v>
      </c>
      <c r="G29" s="5" t="s">
        <v>23</v>
      </c>
      <c r="H29" s="5" t="s">
        <v>457</v>
      </c>
      <c r="I29" s="47">
        <v>558</v>
      </c>
      <c r="J29" s="6">
        <v>152.58000000000001</v>
      </c>
      <c r="K29" s="6">
        <v>97.44</v>
      </c>
      <c r="L29" s="6">
        <v>85139.64</v>
      </c>
      <c r="M29" s="6">
        <v>54371.519999999997</v>
      </c>
      <c r="N29" s="6">
        <v>30768.12</v>
      </c>
      <c r="O29" s="6" t="str">
        <f>TRIM(Europe_Sales_Records__2[[#This Row],[Product Type]])</f>
        <v>Snacks</v>
      </c>
    </row>
    <row r="30" spans="1:15" x14ac:dyDescent="0.3">
      <c r="A30" s="4">
        <v>720931279</v>
      </c>
      <c r="B30" s="5" t="s">
        <v>415</v>
      </c>
      <c r="C30" s="5" t="s">
        <v>416</v>
      </c>
      <c r="D30" s="5" t="s">
        <v>14</v>
      </c>
      <c r="E30" s="5" t="s">
        <v>223</v>
      </c>
      <c r="F30" s="5" t="s">
        <v>58</v>
      </c>
      <c r="G30" s="5" t="s">
        <v>17</v>
      </c>
      <c r="H30" s="5" t="s">
        <v>456</v>
      </c>
      <c r="I30" s="47">
        <v>8441</v>
      </c>
      <c r="J30" s="6">
        <v>152.58000000000001</v>
      </c>
      <c r="K30" s="6">
        <v>97.44</v>
      </c>
      <c r="L30" s="6">
        <v>1287927.78</v>
      </c>
      <c r="M30" s="6">
        <v>822491.04</v>
      </c>
      <c r="N30" s="6">
        <v>465436.74</v>
      </c>
      <c r="O30" s="6" t="str">
        <f>TRIM(Europe_Sales_Records__2[[#This Row],[Product Type]])</f>
        <v>Snacks</v>
      </c>
    </row>
    <row r="31" spans="1:15" x14ac:dyDescent="0.3">
      <c r="A31" s="4">
        <v>158673751</v>
      </c>
      <c r="B31" s="5" t="s">
        <v>330</v>
      </c>
      <c r="C31" s="5" t="s">
        <v>331</v>
      </c>
      <c r="D31" s="5" t="s">
        <v>14</v>
      </c>
      <c r="E31" s="5" t="s">
        <v>196</v>
      </c>
      <c r="F31" s="5" t="s">
        <v>58</v>
      </c>
      <c r="G31" s="5" t="s">
        <v>23</v>
      </c>
      <c r="H31" s="5" t="s">
        <v>455</v>
      </c>
      <c r="I31" s="47">
        <v>3944</v>
      </c>
      <c r="J31" s="6">
        <v>152.58000000000001</v>
      </c>
      <c r="K31" s="6">
        <v>97.44</v>
      </c>
      <c r="L31" s="6">
        <v>601775.52</v>
      </c>
      <c r="M31" s="6">
        <v>384303.35999999999</v>
      </c>
      <c r="N31" s="6">
        <v>217472.16</v>
      </c>
      <c r="O31" s="6" t="str">
        <f>TRIM(Europe_Sales_Records__2[[#This Row],[Product Type]])</f>
        <v>Snacks</v>
      </c>
    </row>
    <row r="32" spans="1:15" x14ac:dyDescent="0.3">
      <c r="A32" s="4">
        <v>476991450</v>
      </c>
      <c r="B32" s="5" t="s">
        <v>125</v>
      </c>
      <c r="C32" s="5" t="s">
        <v>126</v>
      </c>
      <c r="D32" s="5" t="s">
        <v>14</v>
      </c>
      <c r="E32" s="5" t="s">
        <v>31</v>
      </c>
      <c r="F32" s="5" t="s">
        <v>58</v>
      </c>
      <c r="G32" s="5" t="s">
        <v>17</v>
      </c>
      <c r="H32" s="5" t="s">
        <v>456</v>
      </c>
      <c r="I32" s="47">
        <v>1225</v>
      </c>
      <c r="J32" s="6">
        <v>152.58000000000001</v>
      </c>
      <c r="K32" s="6">
        <v>97.44</v>
      </c>
      <c r="L32" s="6">
        <v>186910.5</v>
      </c>
      <c r="M32" s="6">
        <v>119364</v>
      </c>
      <c r="N32" s="6">
        <v>67546.5</v>
      </c>
      <c r="O32" s="6" t="str">
        <f>TRIM(Europe_Sales_Records__2[[#This Row],[Product Type]])</f>
        <v>Snacks</v>
      </c>
    </row>
    <row r="33" spans="1:15" x14ac:dyDescent="0.3">
      <c r="A33" s="4">
        <v>519380223</v>
      </c>
      <c r="B33" s="5" t="s">
        <v>59</v>
      </c>
      <c r="C33" s="5" t="s">
        <v>60</v>
      </c>
      <c r="D33" s="5" t="s">
        <v>14</v>
      </c>
      <c r="E33" s="5" t="s">
        <v>57</v>
      </c>
      <c r="F33" s="5" t="s">
        <v>58</v>
      </c>
      <c r="G33" s="5" t="s">
        <v>23</v>
      </c>
      <c r="H33" s="5" t="s">
        <v>457</v>
      </c>
      <c r="I33" s="47">
        <v>5005</v>
      </c>
      <c r="J33" s="6">
        <v>152.58000000000001</v>
      </c>
      <c r="K33" s="6">
        <v>97.44</v>
      </c>
      <c r="L33" s="6">
        <v>763662.9</v>
      </c>
      <c r="M33" s="6">
        <v>487687.2</v>
      </c>
      <c r="N33" s="6">
        <v>275975.7</v>
      </c>
      <c r="O33" s="6" t="str">
        <f>TRIM(Europe_Sales_Records__2[[#This Row],[Product Type]])</f>
        <v>Snacks</v>
      </c>
    </row>
    <row r="34" spans="1:15" x14ac:dyDescent="0.3">
      <c r="A34" s="4">
        <v>480904042</v>
      </c>
      <c r="B34" s="5" t="s">
        <v>303</v>
      </c>
      <c r="C34" s="5" t="s">
        <v>304</v>
      </c>
      <c r="D34" s="5" t="s">
        <v>14</v>
      </c>
      <c r="E34" s="5" t="s">
        <v>220</v>
      </c>
      <c r="F34" s="5" t="s">
        <v>58</v>
      </c>
      <c r="G34" s="5" t="s">
        <v>17</v>
      </c>
      <c r="H34" s="5" t="s">
        <v>458</v>
      </c>
      <c r="I34" s="47">
        <v>9048</v>
      </c>
      <c r="J34" s="6">
        <v>152.58000000000001</v>
      </c>
      <c r="K34" s="6">
        <v>97.44</v>
      </c>
      <c r="L34" s="6">
        <v>1380543.84</v>
      </c>
      <c r="M34" s="6">
        <v>881637.12</v>
      </c>
      <c r="N34" s="6">
        <v>498906.72</v>
      </c>
      <c r="O34" s="6" t="str">
        <f>TRIM(Europe_Sales_Records__2[[#This Row],[Product Type]])</f>
        <v>Snacks</v>
      </c>
    </row>
    <row r="35" spans="1:15" x14ac:dyDescent="0.3">
      <c r="A35" s="4">
        <v>653087270</v>
      </c>
      <c r="B35" s="5" t="s">
        <v>207</v>
      </c>
      <c r="C35" s="5" t="s">
        <v>208</v>
      </c>
      <c r="D35" s="5" t="s">
        <v>14</v>
      </c>
      <c r="E35" s="5" t="s">
        <v>141</v>
      </c>
      <c r="F35" s="5" t="s">
        <v>58</v>
      </c>
      <c r="G35" s="5" t="s">
        <v>23</v>
      </c>
      <c r="H35" s="5" t="s">
        <v>455</v>
      </c>
      <c r="I35" s="47">
        <v>1891</v>
      </c>
      <c r="J35" s="6">
        <v>152.58000000000001</v>
      </c>
      <c r="K35" s="6">
        <v>97.44</v>
      </c>
      <c r="L35" s="6">
        <v>288528.78000000003</v>
      </c>
      <c r="M35" s="6">
        <v>184259.04</v>
      </c>
      <c r="N35" s="6">
        <v>104269.74</v>
      </c>
      <c r="O35" s="6" t="str">
        <f>TRIM(Europe_Sales_Records__2[[#This Row],[Product Type]])</f>
        <v>Snacks</v>
      </c>
    </row>
    <row r="36" spans="1:15" x14ac:dyDescent="0.3">
      <c r="A36" s="4">
        <v>987459170</v>
      </c>
      <c r="B36" s="5" t="s">
        <v>103</v>
      </c>
      <c r="C36" s="5" t="s">
        <v>104</v>
      </c>
      <c r="D36" s="5" t="s">
        <v>14</v>
      </c>
      <c r="E36" s="5" t="s">
        <v>74</v>
      </c>
      <c r="F36" s="5" t="s">
        <v>102</v>
      </c>
      <c r="G36" s="5" t="s">
        <v>23</v>
      </c>
      <c r="H36" s="5" t="s">
        <v>457</v>
      </c>
      <c r="I36" s="47">
        <v>9967</v>
      </c>
      <c r="J36" s="6">
        <v>81.73</v>
      </c>
      <c r="K36" s="6">
        <v>56.67</v>
      </c>
      <c r="L36" s="6">
        <v>814602.91</v>
      </c>
      <c r="M36" s="6">
        <v>564829.89</v>
      </c>
      <c r="N36" s="6">
        <v>249773.02</v>
      </c>
      <c r="O36" s="6" t="str">
        <f>TRIM(Europe_Sales_Records__2[[#This Row],[Product Type]])</f>
        <v>Personal Care</v>
      </c>
    </row>
    <row r="37" spans="1:15" x14ac:dyDescent="0.3">
      <c r="A37" s="4">
        <v>602357041</v>
      </c>
      <c r="B37" s="5" t="s">
        <v>205</v>
      </c>
      <c r="C37" s="5" t="s">
        <v>206</v>
      </c>
      <c r="D37" s="5" t="s">
        <v>14</v>
      </c>
      <c r="E37" s="5" t="s">
        <v>70</v>
      </c>
      <c r="F37" s="5" t="s">
        <v>102</v>
      </c>
      <c r="G37" s="5" t="s">
        <v>23</v>
      </c>
      <c r="H37" s="5" t="s">
        <v>456</v>
      </c>
      <c r="I37" s="47">
        <v>9689</v>
      </c>
      <c r="J37" s="6">
        <v>81.73</v>
      </c>
      <c r="K37" s="6">
        <v>56.67</v>
      </c>
      <c r="L37" s="6">
        <v>791881.97</v>
      </c>
      <c r="M37" s="6">
        <v>549075.63</v>
      </c>
      <c r="N37" s="6">
        <v>242806.34</v>
      </c>
      <c r="O37" s="6" t="str">
        <f>TRIM(Europe_Sales_Records__2[[#This Row],[Product Type]])</f>
        <v>Personal Care</v>
      </c>
    </row>
    <row r="38" spans="1:15" x14ac:dyDescent="0.3">
      <c r="A38" s="4">
        <v>853036296</v>
      </c>
      <c r="B38" s="5" t="s">
        <v>367</v>
      </c>
      <c r="C38" s="5" t="s">
        <v>308</v>
      </c>
      <c r="D38" s="5" t="s">
        <v>14</v>
      </c>
      <c r="E38" s="5" t="s">
        <v>342</v>
      </c>
      <c r="F38" s="5" t="s">
        <v>102</v>
      </c>
      <c r="G38" s="5" t="s">
        <v>17</v>
      </c>
      <c r="H38" s="5" t="s">
        <v>456</v>
      </c>
      <c r="I38" s="47">
        <v>1251</v>
      </c>
      <c r="J38" s="6">
        <v>81.73</v>
      </c>
      <c r="K38" s="6">
        <v>56.67</v>
      </c>
      <c r="L38" s="6">
        <v>102244.23</v>
      </c>
      <c r="M38" s="6">
        <v>70894.17</v>
      </c>
      <c r="N38" s="6">
        <v>31350.06</v>
      </c>
      <c r="O38" s="6" t="str">
        <f>TRIM(Europe_Sales_Records__2[[#This Row],[Product Type]])</f>
        <v>Personal Care</v>
      </c>
    </row>
    <row r="39" spans="1:15" x14ac:dyDescent="0.3">
      <c r="A39" s="4">
        <v>386440074</v>
      </c>
      <c r="B39" s="5" t="s">
        <v>226</v>
      </c>
      <c r="C39" s="5" t="s">
        <v>227</v>
      </c>
      <c r="D39" s="5" t="s">
        <v>14</v>
      </c>
      <c r="E39" s="5" t="s">
        <v>89</v>
      </c>
      <c r="F39" s="5" t="s">
        <v>102</v>
      </c>
      <c r="G39" s="5" t="s">
        <v>17</v>
      </c>
      <c r="H39" s="5" t="s">
        <v>458</v>
      </c>
      <c r="I39" s="47">
        <v>5060</v>
      </c>
      <c r="J39" s="6">
        <v>81.73</v>
      </c>
      <c r="K39" s="6">
        <v>56.67</v>
      </c>
      <c r="L39" s="6">
        <v>413553.8</v>
      </c>
      <c r="M39" s="6">
        <v>286750.2</v>
      </c>
      <c r="N39" s="6">
        <v>126803.6</v>
      </c>
      <c r="O39" s="6" t="str">
        <f>TRIM(Europe_Sales_Records__2[[#This Row],[Product Type]])</f>
        <v>Personal Care</v>
      </c>
    </row>
    <row r="40" spans="1:15" x14ac:dyDescent="0.3">
      <c r="A40" s="4">
        <v>594813811</v>
      </c>
      <c r="B40" s="5" t="s">
        <v>174</v>
      </c>
      <c r="C40" s="5" t="s">
        <v>175</v>
      </c>
      <c r="D40" s="5" t="s">
        <v>14</v>
      </c>
      <c r="E40" s="5" t="s">
        <v>115</v>
      </c>
      <c r="F40" s="5" t="s">
        <v>102</v>
      </c>
      <c r="G40" s="5" t="s">
        <v>17</v>
      </c>
      <c r="H40" s="5" t="s">
        <v>457</v>
      </c>
      <c r="I40" s="47">
        <v>7480</v>
      </c>
      <c r="J40" s="6">
        <v>81.73</v>
      </c>
      <c r="K40" s="6">
        <v>56.67</v>
      </c>
      <c r="L40" s="6">
        <v>611340.4</v>
      </c>
      <c r="M40" s="6">
        <v>423891.6</v>
      </c>
      <c r="N40" s="6">
        <v>187448.8</v>
      </c>
      <c r="O40" s="6" t="str">
        <f>TRIM(Europe_Sales_Records__2[[#This Row],[Product Type]])</f>
        <v>Personal Care</v>
      </c>
    </row>
    <row r="41" spans="1:15" x14ac:dyDescent="0.3">
      <c r="A41" s="4">
        <v>263098371</v>
      </c>
      <c r="B41" s="5" t="s">
        <v>111</v>
      </c>
      <c r="C41" s="5" t="s">
        <v>112</v>
      </c>
      <c r="D41" s="5" t="s">
        <v>14</v>
      </c>
      <c r="E41" s="5" t="s">
        <v>110</v>
      </c>
      <c r="F41" s="5" t="s">
        <v>102</v>
      </c>
      <c r="G41" s="5" t="s">
        <v>23</v>
      </c>
      <c r="H41" s="5" t="s">
        <v>456</v>
      </c>
      <c r="I41" s="47">
        <v>5509</v>
      </c>
      <c r="J41" s="6">
        <v>81.73</v>
      </c>
      <c r="K41" s="6">
        <v>56.67</v>
      </c>
      <c r="L41" s="6">
        <v>450250.57</v>
      </c>
      <c r="M41" s="6">
        <v>312195.03000000003</v>
      </c>
      <c r="N41" s="6">
        <v>138055.54</v>
      </c>
      <c r="O41" s="6" t="str">
        <f>TRIM(Europe_Sales_Records__2[[#This Row],[Product Type]])</f>
        <v>Personal Care</v>
      </c>
    </row>
    <row r="42" spans="1:15" x14ac:dyDescent="0.3">
      <c r="A42" s="4">
        <v>351247346</v>
      </c>
      <c r="B42" s="5" t="s">
        <v>251</v>
      </c>
      <c r="C42" s="5" t="s">
        <v>252</v>
      </c>
      <c r="D42" s="5" t="s">
        <v>14</v>
      </c>
      <c r="E42" s="5" t="s">
        <v>110</v>
      </c>
      <c r="F42" s="5" t="s">
        <v>102</v>
      </c>
      <c r="G42" s="5" t="s">
        <v>23</v>
      </c>
      <c r="H42" s="5" t="s">
        <v>455</v>
      </c>
      <c r="I42" s="47">
        <v>750</v>
      </c>
      <c r="J42" s="6">
        <v>81.73</v>
      </c>
      <c r="K42" s="6">
        <v>56.67</v>
      </c>
      <c r="L42" s="6">
        <v>61297.5</v>
      </c>
      <c r="M42" s="6">
        <v>42502.5</v>
      </c>
      <c r="N42" s="6">
        <v>18795</v>
      </c>
      <c r="O42" s="6" t="str">
        <f>TRIM(Europe_Sales_Records__2[[#This Row],[Product Type]])</f>
        <v>Personal Care</v>
      </c>
    </row>
    <row r="43" spans="1:15" x14ac:dyDescent="0.3">
      <c r="A43" s="4">
        <v>467045819</v>
      </c>
      <c r="B43" s="5" t="s">
        <v>147</v>
      </c>
      <c r="C43" s="5" t="s">
        <v>148</v>
      </c>
      <c r="D43" s="5" t="s">
        <v>14</v>
      </c>
      <c r="E43" s="5" t="s">
        <v>146</v>
      </c>
      <c r="F43" s="5" t="s">
        <v>102</v>
      </c>
      <c r="G43" s="5" t="s">
        <v>23</v>
      </c>
      <c r="H43" s="5" t="s">
        <v>457</v>
      </c>
      <c r="I43" s="47">
        <v>8092</v>
      </c>
      <c r="J43" s="6">
        <v>81.73</v>
      </c>
      <c r="K43" s="6">
        <v>56.67</v>
      </c>
      <c r="L43" s="6">
        <v>661359.16</v>
      </c>
      <c r="M43" s="6">
        <v>458573.64</v>
      </c>
      <c r="N43" s="6">
        <v>202785.52</v>
      </c>
      <c r="O43" s="6" t="str">
        <f>TRIM(Europe_Sales_Records__2[[#This Row],[Product Type]])</f>
        <v>Personal Care</v>
      </c>
    </row>
    <row r="44" spans="1:15" x14ac:dyDescent="0.3">
      <c r="A44" s="4">
        <v>466988742</v>
      </c>
      <c r="B44" s="5" t="s">
        <v>178</v>
      </c>
      <c r="C44" s="5" t="s">
        <v>178</v>
      </c>
      <c r="D44" s="5" t="s">
        <v>14</v>
      </c>
      <c r="E44" s="5" t="s">
        <v>100</v>
      </c>
      <c r="F44" s="5" t="s">
        <v>102</v>
      </c>
      <c r="G44" s="5" t="s">
        <v>17</v>
      </c>
      <c r="H44" s="5" t="s">
        <v>457</v>
      </c>
      <c r="I44" s="47">
        <v>1201</v>
      </c>
      <c r="J44" s="6">
        <v>81.73</v>
      </c>
      <c r="K44" s="6">
        <v>56.67</v>
      </c>
      <c r="L44" s="6">
        <v>98157.73</v>
      </c>
      <c r="M44" s="6">
        <v>68060.67</v>
      </c>
      <c r="N44" s="6">
        <v>30097.06</v>
      </c>
      <c r="O44" s="6" t="str">
        <f>TRIM(Europe_Sales_Records__2[[#This Row],[Product Type]])</f>
        <v>Personal Care</v>
      </c>
    </row>
    <row r="45" spans="1:15" x14ac:dyDescent="0.3">
      <c r="A45" s="4">
        <v>445708739</v>
      </c>
      <c r="B45" s="5" t="s">
        <v>287</v>
      </c>
      <c r="C45" s="5" t="s">
        <v>288</v>
      </c>
      <c r="D45" s="5" t="s">
        <v>14</v>
      </c>
      <c r="E45" s="5" t="s">
        <v>100</v>
      </c>
      <c r="F45" s="5" t="s">
        <v>102</v>
      </c>
      <c r="G45" s="5" t="s">
        <v>23</v>
      </c>
      <c r="H45" s="5" t="s">
        <v>455</v>
      </c>
      <c r="I45" s="47">
        <v>3975</v>
      </c>
      <c r="J45" s="6">
        <v>81.73</v>
      </c>
      <c r="K45" s="6">
        <v>56.67</v>
      </c>
      <c r="L45" s="6">
        <v>324876.75</v>
      </c>
      <c r="M45" s="6">
        <v>225263.25</v>
      </c>
      <c r="N45" s="6">
        <v>99613.5</v>
      </c>
      <c r="O45" s="6" t="str">
        <f>TRIM(Europe_Sales_Records__2[[#This Row],[Product Type]])</f>
        <v>Personal Care</v>
      </c>
    </row>
    <row r="46" spans="1:15" x14ac:dyDescent="0.3">
      <c r="A46" s="4">
        <v>456192958</v>
      </c>
      <c r="B46" s="5" t="s">
        <v>145</v>
      </c>
      <c r="C46" s="5" t="s">
        <v>211</v>
      </c>
      <c r="D46" s="5" t="s">
        <v>14</v>
      </c>
      <c r="E46" s="5" t="s">
        <v>181</v>
      </c>
      <c r="F46" s="5" t="s">
        <v>102</v>
      </c>
      <c r="G46" s="5" t="s">
        <v>23</v>
      </c>
      <c r="H46" s="5" t="s">
        <v>456</v>
      </c>
      <c r="I46" s="47">
        <v>6489</v>
      </c>
      <c r="J46" s="6">
        <v>81.73</v>
      </c>
      <c r="K46" s="6">
        <v>56.67</v>
      </c>
      <c r="L46" s="6">
        <v>530345.97</v>
      </c>
      <c r="M46" s="6">
        <v>367731.63</v>
      </c>
      <c r="N46" s="6">
        <v>162614.34</v>
      </c>
      <c r="O46" s="6" t="str">
        <f>TRIM(Europe_Sales_Records__2[[#This Row],[Product Type]])</f>
        <v>Personal Care</v>
      </c>
    </row>
    <row r="47" spans="1:15" x14ac:dyDescent="0.3">
      <c r="A47" s="4">
        <v>386009633</v>
      </c>
      <c r="B47" s="5" t="s">
        <v>346</v>
      </c>
      <c r="C47" s="5" t="s">
        <v>347</v>
      </c>
      <c r="D47" s="5" t="s">
        <v>14</v>
      </c>
      <c r="E47" s="5" t="s">
        <v>138</v>
      </c>
      <c r="F47" s="5" t="s">
        <v>102</v>
      </c>
      <c r="G47" s="5" t="s">
        <v>17</v>
      </c>
      <c r="H47" s="5" t="s">
        <v>457</v>
      </c>
      <c r="I47" s="47">
        <v>7683</v>
      </c>
      <c r="J47" s="6">
        <v>81.73</v>
      </c>
      <c r="K47" s="6">
        <v>56.67</v>
      </c>
      <c r="L47" s="6">
        <v>627931.59</v>
      </c>
      <c r="M47" s="6">
        <v>435395.61</v>
      </c>
      <c r="N47" s="6">
        <v>192535.98</v>
      </c>
      <c r="O47" s="6" t="str">
        <f>TRIM(Europe_Sales_Records__2[[#This Row],[Product Type]])</f>
        <v>Personal Care</v>
      </c>
    </row>
    <row r="48" spans="1:15" x14ac:dyDescent="0.3">
      <c r="A48" s="4">
        <v>461445796</v>
      </c>
      <c r="B48" s="5" t="s">
        <v>445</v>
      </c>
      <c r="C48" s="5" t="s">
        <v>446</v>
      </c>
      <c r="D48" s="5" t="s">
        <v>14</v>
      </c>
      <c r="E48" s="5" t="s">
        <v>132</v>
      </c>
      <c r="F48" s="5" t="s">
        <v>102</v>
      </c>
      <c r="G48" s="5" t="s">
        <v>23</v>
      </c>
      <c r="H48" s="5" t="s">
        <v>456</v>
      </c>
      <c r="I48" s="47">
        <v>920</v>
      </c>
      <c r="J48" s="6">
        <v>81.73</v>
      </c>
      <c r="K48" s="6">
        <v>56.67</v>
      </c>
      <c r="L48" s="6">
        <v>75191.600000000006</v>
      </c>
      <c r="M48" s="6">
        <v>52136.4</v>
      </c>
      <c r="N48" s="6">
        <v>23055.200000000001</v>
      </c>
      <c r="O48" s="6" t="str">
        <f>TRIM(Europe_Sales_Records__2[[#This Row],[Product Type]])</f>
        <v>Personal Care</v>
      </c>
    </row>
    <row r="49" spans="1:15" x14ac:dyDescent="0.3">
      <c r="A49" s="4">
        <v>309342658</v>
      </c>
      <c r="B49" s="5" t="s">
        <v>186</v>
      </c>
      <c r="C49" s="5" t="s">
        <v>187</v>
      </c>
      <c r="D49" s="5" t="s">
        <v>14</v>
      </c>
      <c r="E49" s="5" t="s">
        <v>185</v>
      </c>
      <c r="F49" s="5" t="s">
        <v>102</v>
      </c>
      <c r="G49" s="5" t="s">
        <v>23</v>
      </c>
      <c r="H49" s="5" t="s">
        <v>458</v>
      </c>
      <c r="I49" s="47">
        <v>222</v>
      </c>
      <c r="J49" s="6">
        <v>81.73</v>
      </c>
      <c r="K49" s="6">
        <v>56.67</v>
      </c>
      <c r="L49" s="6">
        <v>18144.060000000001</v>
      </c>
      <c r="M49" s="6">
        <v>12580.74</v>
      </c>
      <c r="N49" s="6">
        <v>5563.32</v>
      </c>
      <c r="O49" s="6" t="str">
        <f>TRIM(Europe_Sales_Records__2[[#This Row],[Product Type]])</f>
        <v>Personal Care</v>
      </c>
    </row>
    <row r="50" spans="1:15" x14ac:dyDescent="0.3">
      <c r="A50" s="4">
        <v>354931628</v>
      </c>
      <c r="B50" s="5" t="s">
        <v>311</v>
      </c>
      <c r="C50" s="5" t="s">
        <v>312</v>
      </c>
      <c r="D50" s="5" t="s">
        <v>14</v>
      </c>
      <c r="E50" s="5" t="s">
        <v>271</v>
      </c>
      <c r="F50" s="5" t="s">
        <v>102</v>
      </c>
      <c r="G50" s="5" t="s">
        <v>17</v>
      </c>
      <c r="H50" s="5" t="s">
        <v>455</v>
      </c>
      <c r="I50" s="47">
        <v>1011</v>
      </c>
      <c r="J50" s="6">
        <v>81.73</v>
      </c>
      <c r="K50" s="6">
        <v>56.67</v>
      </c>
      <c r="L50" s="6">
        <v>82629.03</v>
      </c>
      <c r="M50" s="6">
        <v>57293.37</v>
      </c>
      <c r="N50" s="6">
        <v>25335.66</v>
      </c>
      <c r="O50" s="6" t="str">
        <f>TRIM(Europe_Sales_Records__2[[#This Row],[Product Type]])</f>
        <v>Personal Care</v>
      </c>
    </row>
    <row r="51" spans="1:15" x14ac:dyDescent="0.3">
      <c r="A51" s="4">
        <v>800045716</v>
      </c>
      <c r="B51" s="5" t="s">
        <v>403</v>
      </c>
      <c r="C51" s="5" t="s">
        <v>404</v>
      </c>
      <c r="D51" s="5" t="s">
        <v>14</v>
      </c>
      <c r="E51" s="5" t="s">
        <v>183</v>
      </c>
      <c r="F51" s="5" t="s">
        <v>102</v>
      </c>
      <c r="G51" s="5" t="s">
        <v>23</v>
      </c>
      <c r="H51" s="5" t="s">
        <v>457</v>
      </c>
      <c r="I51" s="47">
        <v>161</v>
      </c>
      <c r="J51" s="6">
        <v>81.73</v>
      </c>
      <c r="K51" s="6">
        <v>56.67</v>
      </c>
      <c r="L51" s="6">
        <v>13158.53</v>
      </c>
      <c r="M51" s="6">
        <v>9123.8700000000008</v>
      </c>
      <c r="N51" s="6">
        <v>4034.66</v>
      </c>
      <c r="O51" s="6" t="str">
        <f>TRIM(Europe_Sales_Records__2[[#This Row],[Product Type]])</f>
        <v>Personal Care</v>
      </c>
    </row>
    <row r="52" spans="1:15" x14ac:dyDescent="0.3">
      <c r="A52" s="4">
        <v>701298367</v>
      </c>
      <c r="B52" s="5" t="s">
        <v>184</v>
      </c>
      <c r="C52" s="5" t="s">
        <v>139</v>
      </c>
      <c r="D52" s="5" t="s">
        <v>14</v>
      </c>
      <c r="E52" s="5" t="s">
        <v>183</v>
      </c>
      <c r="F52" s="5" t="s">
        <v>102</v>
      </c>
      <c r="G52" s="5" t="s">
        <v>17</v>
      </c>
      <c r="H52" s="5" t="s">
        <v>457</v>
      </c>
      <c r="I52" s="47">
        <v>8626</v>
      </c>
      <c r="J52" s="6">
        <v>81.73</v>
      </c>
      <c r="K52" s="6">
        <v>56.67</v>
      </c>
      <c r="L52" s="6">
        <v>705002.98</v>
      </c>
      <c r="M52" s="6">
        <v>488835.42</v>
      </c>
      <c r="N52" s="6">
        <v>216167.56</v>
      </c>
      <c r="O52" s="6" t="str">
        <f>TRIM(Europe_Sales_Records__2[[#This Row],[Product Type]])</f>
        <v>Personal Care</v>
      </c>
    </row>
    <row r="53" spans="1:15" x14ac:dyDescent="0.3">
      <c r="A53" s="4">
        <v>835093390</v>
      </c>
      <c r="B53" s="5" t="s">
        <v>393</v>
      </c>
      <c r="C53" s="5" t="s">
        <v>394</v>
      </c>
      <c r="D53" s="5" t="s">
        <v>14</v>
      </c>
      <c r="E53" s="5" t="s">
        <v>196</v>
      </c>
      <c r="F53" s="5" t="s">
        <v>102</v>
      </c>
      <c r="G53" s="5" t="s">
        <v>17</v>
      </c>
      <c r="H53" s="5" t="s">
        <v>455</v>
      </c>
      <c r="I53" s="47">
        <v>1547</v>
      </c>
      <c r="J53" s="6">
        <v>81.73</v>
      </c>
      <c r="K53" s="6">
        <v>56.67</v>
      </c>
      <c r="L53" s="6">
        <v>126436.31</v>
      </c>
      <c r="M53" s="6">
        <v>87668.49</v>
      </c>
      <c r="N53" s="6">
        <v>38767.82</v>
      </c>
      <c r="O53" s="6" t="str">
        <f>TRIM(Europe_Sales_Records__2[[#This Row],[Product Type]])</f>
        <v>Personal Care</v>
      </c>
    </row>
    <row r="54" spans="1:15" x14ac:dyDescent="0.3">
      <c r="A54" s="4">
        <v>993368613</v>
      </c>
      <c r="B54" s="5" t="s">
        <v>348</v>
      </c>
      <c r="C54" s="5" t="s">
        <v>349</v>
      </c>
      <c r="D54" s="5" t="s">
        <v>14</v>
      </c>
      <c r="E54" s="5" t="s">
        <v>196</v>
      </c>
      <c r="F54" s="5" t="s">
        <v>102</v>
      </c>
      <c r="G54" s="5" t="s">
        <v>17</v>
      </c>
      <c r="H54" s="5" t="s">
        <v>455</v>
      </c>
      <c r="I54" s="47">
        <v>8702</v>
      </c>
      <c r="J54" s="6">
        <v>81.73</v>
      </c>
      <c r="K54" s="6">
        <v>56.67</v>
      </c>
      <c r="L54" s="6">
        <v>711214.46</v>
      </c>
      <c r="M54" s="6">
        <v>493142.34</v>
      </c>
      <c r="N54" s="6">
        <v>218072.12</v>
      </c>
      <c r="O54" s="6" t="str">
        <f>TRIM(Europe_Sales_Records__2[[#This Row],[Product Type]])</f>
        <v>Personal Care</v>
      </c>
    </row>
    <row r="55" spans="1:15" x14ac:dyDescent="0.3">
      <c r="A55" s="4">
        <v>353415429</v>
      </c>
      <c r="B55" s="5" t="s">
        <v>218</v>
      </c>
      <c r="C55" s="5" t="s">
        <v>219</v>
      </c>
      <c r="D55" s="5" t="s">
        <v>14</v>
      </c>
      <c r="E55" s="5" t="s">
        <v>15</v>
      </c>
      <c r="F55" s="5" t="s">
        <v>102</v>
      </c>
      <c r="G55" s="5" t="s">
        <v>23</v>
      </c>
      <c r="H55" s="5" t="s">
        <v>457</v>
      </c>
      <c r="I55" s="47">
        <v>2334</v>
      </c>
      <c r="J55" s="6">
        <v>81.73</v>
      </c>
      <c r="K55" s="6">
        <v>56.67</v>
      </c>
      <c r="L55" s="6">
        <v>190757.82</v>
      </c>
      <c r="M55" s="6">
        <v>132267.78</v>
      </c>
      <c r="N55" s="6">
        <v>58490.04</v>
      </c>
      <c r="O55" s="6" t="str">
        <f>TRIM(Europe_Sales_Records__2[[#This Row],[Product Type]])</f>
        <v>Personal Care</v>
      </c>
    </row>
    <row r="56" spans="1:15" x14ac:dyDescent="0.3">
      <c r="A56" s="4">
        <v>595496594</v>
      </c>
      <c r="B56" s="5" t="s">
        <v>309</v>
      </c>
      <c r="C56" s="5" t="s">
        <v>310</v>
      </c>
      <c r="D56" s="5" t="s">
        <v>14</v>
      </c>
      <c r="E56" s="5" t="s">
        <v>31</v>
      </c>
      <c r="F56" s="5" t="s">
        <v>102</v>
      </c>
      <c r="G56" s="5" t="s">
        <v>17</v>
      </c>
      <c r="H56" s="5" t="s">
        <v>455</v>
      </c>
      <c r="I56" s="47">
        <v>9530</v>
      </c>
      <c r="J56" s="6">
        <v>81.73</v>
      </c>
      <c r="K56" s="6">
        <v>56.67</v>
      </c>
      <c r="L56" s="6">
        <v>778886.9</v>
      </c>
      <c r="M56" s="6">
        <v>540065.1</v>
      </c>
      <c r="N56" s="6">
        <v>238821.8</v>
      </c>
      <c r="O56" s="6" t="str">
        <f>TRIM(Europe_Sales_Records__2[[#This Row],[Product Type]])</f>
        <v>Personal Care</v>
      </c>
    </row>
    <row r="57" spans="1:15" x14ac:dyDescent="0.3">
      <c r="A57" s="4">
        <v>396718728</v>
      </c>
      <c r="B57" s="5" t="s">
        <v>238</v>
      </c>
      <c r="C57" s="5" t="s">
        <v>239</v>
      </c>
      <c r="D57" s="5" t="s">
        <v>14</v>
      </c>
      <c r="E57" s="5" t="s">
        <v>21</v>
      </c>
      <c r="F57" s="5" t="s">
        <v>102</v>
      </c>
      <c r="G57" s="5" t="s">
        <v>17</v>
      </c>
      <c r="H57" s="5" t="s">
        <v>456</v>
      </c>
      <c r="I57" s="47">
        <v>6742</v>
      </c>
      <c r="J57" s="6">
        <v>81.73</v>
      </c>
      <c r="K57" s="6">
        <v>56.67</v>
      </c>
      <c r="L57" s="6">
        <v>551023.66</v>
      </c>
      <c r="M57" s="6">
        <v>382069.14</v>
      </c>
      <c r="N57" s="6">
        <v>168954.52</v>
      </c>
      <c r="O57" s="6" t="str">
        <f>TRIM(Europe_Sales_Records__2[[#This Row],[Product Type]])</f>
        <v>Personal Care</v>
      </c>
    </row>
    <row r="58" spans="1:15" x14ac:dyDescent="0.3">
      <c r="A58" s="4">
        <v>754541289</v>
      </c>
      <c r="B58" s="5" t="s">
        <v>429</v>
      </c>
      <c r="C58" s="5" t="s">
        <v>430</v>
      </c>
      <c r="D58" s="5" t="s">
        <v>14</v>
      </c>
      <c r="E58" s="5" t="s">
        <v>220</v>
      </c>
      <c r="F58" s="5" t="s">
        <v>102</v>
      </c>
      <c r="G58" s="5" t="s">
        <v>17</v>
      </c>
      <c r="H58" s="5" t="s">
        <v>456</v>
      </c>
      <c r="I58" s="47">
        <v>4390</v>
      </c>
      <c r="J58" s="6">
        <v>81.73</v>
      </c>
      <c r="K58" s="6">
        <v>56.67</v>
      </c>
      <c r="L58" s="6">
        <v>358794.7</v>
      </c>
      <c r="M58" s="6">
        <v>248781.3</v>
      </c>
      <c r="N58" s="6">
        <v>110013.4</v>
      </c>
      <c r="O58" s="6" t="str">
        <f>TRIM(Europe_Sales_Records__2[[#This Row],[Product Type]])</f>
        <v>Personal Care</v>
      </c>
    </row>
    <row r="59" spans="1:15" x14ac:dyDescent="0.3">
      <c r="A59" s="4">
        <v>560762631</v>
      </c>
      <c r="B59" s="5" t="s">
        <v>298</v>
      </c>
      <c r="C59" s="5" t="s">
        <v>299</v>
      </c>
      <c r="D59" s="5" t="s">
        <v>14</v>
      </c>
      <c r="E59" s="5" t="s">
        <v>94</v>
      </c>
      <c r="F59" s="5" t="s">
        <v>32</v>
      </c>
      <c r="G59" s="5" t="s">
        <v>23</v>
      </c>
      <c r="H59" s="5" t="s">
        <v>455</v>
      </c>
      <c r="I59" s="47">
        <v>979</v>
      </c>
      <c r="J59" s="6">
        <v>651.21</v>
      </c>
      <c r="K59" s="6">
        <v>524.96</v>
      </c>
      <c r="L59" s="6">
        <v>637534.59</v>
      </c>
      <c r="M59" s="6">
        <v>513935.84</v>
      </c>
      <c r="N59" s="6">
        <v>123598.75</v>
      </c>
      <c r="O59" s="6" t="str">
        <f>TRIM(Europe_Sales_Records__2[[#This Row],[Product Type]])</f>
        <v>Office Supplies</v>
      </c>
    </row>
    <row r="60" spans="1:15" x14ac:dyDescent="0.3">
      <c r="A60" s="4">
        <v>904589211</v>
      </c>
      <c r="B60" s="5" t="s">
        <v>62</v>
      </c>
      <c r="C60" s="5" t="s">
        <v>63</v>
      </c>
      <c r="D60" s="5" t="s">
        <v>14</v>
      </c>
      <c r="E60" s="5" t="s">
        <v>61</v>
      </c>
      <c r="F60" s="5" t="s">
        <v>32</v>
      </c>
      <c r="G60" s="5" t="s">
        <v>23</v>
      </c>
      <c r="H60" s="5" t="s">
        <v>455</v>
      </c>
      <c r="I60" s="47">
        <v>6905</v>
      </c>
      <c r="J60" s="6">
        <v>651.21</v>
      </c>
      <c r="K60" s="6">
        <v>524.96</v>
      </c>
      <c r="L60" s="6">
        <v>4496605.05</v>
      </c>
      <c r="M60" s="6">
        <v>3624848.8</v>
      </c>
      <c r="N60" s="6">
        <v>871756.25</v>
      </c>
      <c r="O60" s="6" t="str">
        <f>TRIM(Europe_Sales_Records__2[[#This Row],[Product Type]])</f>
        <v>Office Supplies</v>
      </c>
    </row>
    <row r="61" spans="1:15" x14ac:dyDescent="0.3">
      <c r="A61" s="4">
        <v>520915305</v>
      </c>
      <c r="B61" s="5" t="s">
        <v>294</v>
      </c>
      <c r="C61" s="5" t="s">
        <v>295</v>
      </c>
      <c r="D61" s="5" t="s">
        <v>14</v>
      </c>
      <c r="E61" s="5" t="s">
        <v>70</v>
      </c>
      <c r="F61" s="5" t="s">
        <v>32</v>
      </c>
      <c r="G61" s="5" t="s">
        <v>17</v>
      </c>
      <c r="H61" s="5" t="s">
        <v>455</v>
      </c>
      <c r="I61" s="47">
        <v>9270</v>
      </c>
      <c r="J61" s="6">
        <v>651.21</v>
      </c>
      <c r="K61" s="6">
        <v>524.96</v>
      </c>
      <c r="L61" s="6">
        <v>6036716.7000000002</v>
      </c>
      <c r="M61" s="6">
        <v>4866379.2</v>
      </c>
      <c r="N61" s="6">
        <v>1170337.5</v>
      </c>
      <c r="O61" s="6" t="str">
        <f>TRIM(Europe_Sales_Records__2[[#This Row],[Product Type]])</f>
        <v>Office Supplies</v>
      </c>
    </row>
    <row r="62" spans="1:15" x14ac:dyDescent="0.3">
      <c r="A62" s="4">
        <v>734318292</v>
      </c>
      <c r="B62" s="5" t="s">
        <v>87</v>
      </c>
      <c r="C62" s="5" t="s">
        <v>88</v>
      </c>
      <c r="D62" s="5" t="s">
        <v>14</v>
      </c>
      <c r="E62" s="5" t="s">
        <v>86</v>
      </c>
      <c r="F62" s="5" t="s">
        <v>32</v>
      </c>
      <c r="G62" s="5" t="s">
        <v>23</v>
      </c>
      <c r="H62" s="5" t="s">
        <v>457</v>
      </c>
      <c r="I62" s="47">
        <v>9956</v>
      </c>
      <c r="J62" s="6">
        <v>651.21</v>
      </c>
      <c r="K62" s="6">
        <v>524.96</v>
      </c>
      <c r="L62" s="6">
        <v>6483446.7599999998</v>
      </c>
      <c r="M62" s="6">
        <v>5226501.76</v>
      </c>
      <c r="N62" s="6">
        <v>1256945</v>
      </c>
      <c r="O62" s="6" t="str">
        <f>TRIM(Europe_Sales_Records__2[[#This Row],[Product Type]])</f>
        <v>Office Supplies</v>
      </c>
    </row>
    <row r="63" spans="1:15" x14ac:dyDescent="0.3">
      <c r="A63" s="4">
        <v>148894631</v>
      </c>
      <c r="B63" s="5" t="s">
        <v>278</v>
      </c>
      <c r="C63" s="5" t="s">
        <v>279</v>
      </c>
      <c r="D63" s="5" t="s">
        <v>14</v>
      </c>
      <c r="E63" s="5" t="s">
        <v>89</v>
      </c>
      <c r="F63" s="5" t="s">
        <v>32</v>
      </c>
      <c r="G63" s="5" t="s">
        <v>23</v>
      </c>
      <c r="H63" s="5" t="s">
        <v>455</v>
      </c>
      <c r="I63" s="47">
        <v>85</v>
      </c>
      <c r="J63" s="6">
        <v>651.21</v>
      </c>
      <c r="K63" s="6">
        <v>524.96</v>
      </c>
      <c r="L63" s="6">
        <v>55352.85</v>
      </c>
      <c r="M63" s="6">
        <v>44621.599999999999</v>
      </c>
      <c r="N63" s="6">
        <v>10731.25</v>
      </c>
      <c r="O63" s="6" t="str">
        <f>TRIM(Europe_Sales_Records__2[[#This Row],[Product Type]])</f>
        <v>Office Supplies</v>
      </c>
    </row>
    <row r="64" spans="1:15" x14ac:dyDescent="0.3">
      <c r="A64" s="4">
        <v>208365428</v>
      </c>
      <c r="B64" s="5" t="s">
        <v>108</v>
      </c>
      <c r="C64" s="5" t="s">
        <v>109</v>
      </c>
      <c r="D64" s="5" t="s">
        <v>14</v>
      </c>
      <c r="E64" s="5" t="s">
        <v>89</v>
      </c>
      <c r="F64" s="5" t="s">
        <v>32</v>
      </c>
      <c r="G64" s="5" t="s">
        <v>17</v>
      </c>
      <c r="H64" s="5" t="s">
        <v>457</v>
      </c>
      <c r="I64" s="47">
        <v>8815</v>
      </c>
      <c r="J64" s="6">
        <v>651.21</v>
      </c>
      <c r="K64" s="6">
        <v>524.96</v>
      </c>
      <c r="L64" s="6">
        <v>5740416.1500000004</v>
      </c>
      <c r="M64" s="6">
        <v>4627522.4000000004</v>
      </c>
      <c r="N64" s="6">
        <v>1112893.75</v>
      </c>
      <c r="O64" s="6" t="str">
        <f>TRIM(Europe_Sales_Records__2[[#This Row],[Product Type]])</f>
        <v>Office Supplies</v>
      </c>
    </row>
    <row r="65" spans="1:15" x14ac:dyDescent="0.3">
      <c r="A65" s="4">
        <v>256095016</v>
      </c>
      <c r="B65" s="5" t="s">
        <v>144</v>
      </c>
      <c r="C65" s="5" t="s">
        <v>162</v>
      </c>
      <c r="D65" s="5" t="s">
        <v>14</v>
      </c>
      <c r="E65" s="5" t="s">
        <v>40</v>
      </c>
      <c r="F65" s="5" t="s">
        <v>32</v>
      </c>
      <c r="G65" s="5" t="s">
        <v>17</v>
      </c>
      <c r="H65" s="5" t="s">
        <v>455</v>
      </c>
      <c r="I65" s="47">
        <v>3061</v>
      </c>
      <c r="J65" s="6">
        <v>651.21</v>
      </c>
      <c r="K65" s="6">
        <v>524.96</v>
      </c>
      <c r="L65" s="6">
        <v>1993353.81</v>
      </c>
      <c r="M65" s="6">
        <v>1606902.56</v>
      </c>
      <c r="N65" s="6">
        <v>386451.25</v>
      </c>
      <c r="O65" s="6" t="str">
        <f>TRIM(Europe_Sales_Records__2[[#This Row],[Product Type]])</f>
        <v>Office Supplies</v>
      </c>
    </row>
    <row r="66" spans="1:15" x14ac:dyDescent="0.3">
      <c r="A66" s="4">
        <v>458816373</v>
      </c>
      <c r="B66" s="5" t="s">
        <v>65</v>
      </c>
      <c r="C66" s="5" t="s">
        <v>300</v>
      </c>
      <c r="D66" s="5" t="s">
        <v>14</v>
      </c>
      <c r="E66" s="5" t="s">
        <v>146</v>
      </c>
      <c r="F66" s="5" t="s">
        <v>32</v>
      </c>
      <c r="G66" s="5" t="s">
        <v>17</v>
      </c>
      <c r="H66" s="5" t="s">
        <v>456</v>
      </c>
      <c r="I66" s="47">
        <v>2815</v>
      </c>
      <c r="J66" s="6">
        <v>651.21</v>
      </c>
      <c r="K66" s="6">
        <v>524.96</v>
      </c>
      <c r="L66" s="6">
        <v>1833156.15</v>
      </c>
      <c r="M66" s="6">
        <v>1477762.4</v>
      </c>
      <c r="N66" s="6">
        <v>355393.75</v>
      </c>
      <c r="O66" s="6" t="str">
        <f>TRIM(Europe_Sales_Records__2[[#This Row],[Product Type]])</f>
        <v>Office Supplies</v>
      </c>
    </row>
    <row r="67" spans="1:15" x14ac:dyDescent="0.3">
      <c r="A67" s="4">
        <v>987767302</v>
      </c>
      <c r="B67" s="5" t="s">
        <v>283</v>
      </c>
      <c r="C67" s="5" t="s">
        <v>284</v>
      </c>
      <c r="D67" s="5" t="s">
        <v>14</v>
      </c>
      <c r="E67" s="5" t="s">
        <v>138</v>
      </c>
      <c r="F67" s="5" t="s">
        <v>32</v>
      </c>
      <c r="G67" s="5" t="s">
        <v>23</v>
      </c>
      <c r="H67" s="5" t="s">
        <v>458</v>
      </c>
      <c r="I67" s="47">
        <v>1150</v>
      </c>
      <c r="J67" s="6">
        <v>651.21</v>
      </c>
      <c r="K67" s="6">
        <v>524.96</v>
      </c>
      <c r="L67" s="6">
        <v>748891.5</v>
      </c>
      <c r="M67" s="6">
        <v>603704</v>
      </c>
      <c r="N67" s="6">
        <v>145187.5</v>
      </c>
      <c r="O67" s="6" t="str">
        <f>TRIM(Europe_Sales_Records__2[[#This Row],[Product Type]])</f>
        <v>Office Supplies</v>
      </c>
    </row>
    <row r="68" spans="1:15" x14ac:dyDescent="0.3">
      <c r="A68" s="4">
        <v>112330758</v>
      </c>
      <c r="B68" s="5" t="s">
        <v>160</v>
      </c>
      <c r="C68" s="5" t="s">
        <v>161</v>
      </c>
      <c r="D68" s="5" t="s">
        <v>14</v>
      </c>
      <c r="E68" s="5" t="s">
        <v>138</v>
      </c>
      <c r="F68" s="5" t="s">
        <v>32</v>
      </c>
      <c r="G68" s="5" t="s">
        <v>17</v>
      </c>
      <c r="H68" s="5" t="s">
        <v>458</v>
      </c>
      <c r="I68" s="47">
        <v>22</v>
      </c>
      <c r="J68" s="6">
        <v>651.21</v>
      </c>
      <c r="K68" s="6">
        <v>524.96</v>
      </c>
      <c r="L68" s="6">
        <v>14326.62</v>
      </c>
      <c r="M68" s="6">
        <v>11549.12</v>
      </c>
      <c r="N68" s="6">
        <v>2777.5</v>
      </c>
      <c r="O68" s="6" t="str">
        <f>TRIM(Europe_Sales_Records__2[[#This Row],[Product Type]])</f>
        <v>Office Supplies</v>
      </c>
    </row>
    <row r="69" spans="1:15" x14ac:dyDescent="0.3">
      <c r="A69" s="4">
        <v>374663245</v>
      </c>
      <c r="B69" s="5" t="s">
        <v>269</v>
      </c>
      <c r="C69" s="5" t="s">
        <v>270</v>
      </c>
      <c r="D69" s="5" t="s">
        <v>14</v>
      </c>
      <c r="E69" s="5" t="s">
        <v>132</v>
      </c>
      <c r="F69" s="5" t="s">
        <v>32</v>
      </c>
      <c r="G69" s="5" t="s">
        <v>23</v>
      </c>
      <c r="H69" s="5" t="s">
        <v>458</v>
      </c>
      <c r="I69" s="47">
        <v>35</v>
      </c>
      <c r="J69" s="6">
        <v>651.21</v>
      </c>
      <c r="K69" s="6">
        <v>524.96</v>
      </c>
      <c r="L69" s="6">
        <v>22792.35</v>
      </c>
      <c r="M69" s="6">
        <v>18373.599999999999</v>
      </c>
      <c r="N69" s="6">
        <v>4418.75</v>
      </c>
      <c r="O69" s="6" t="str">
        <f>TRIM(Europe_Sales_Records__2[[#This Row],[Product Type]])</f>
        <v>Office Supplies</v>
      </c>
    </row>
    <row r="70" spans="1:15" x14ac:dyDescent="0.3">
      <c r="A70" s="4">
        <v>886620128</v>
      </c>
      <c r="B70" s="5" t="s">
        <v>43</v>
      </c>
      <c r="C70" s="5" t="s">
        <v>317</v>
      </c>
      <c r="D70" s="5" t="s">
        <v>14</v>
      </c>
      <c r="E70" s="5" t="s">
        <v>185</v>
      </c>
      <c r="F70" s="5" t="s">
        <v>32</v>
      </c>
      <c r="G70" s="5" t="s">
        <v>17</v>
      </c>
      <c r="H70" s="5" t="s">
        <v>458</v>
      </c>
      <c r="I70" s="47">
        <v>9453</v>
      </c>
      <c r="J70" s="6">
        <v>651.21</v>
      </c>
      <c r="K70" s="6">
        <v>524.96</v>
      </c>
      <c r="L70" s="6">
        <v>6155888.1299999999</v>
      </c>
      <c r="M70" s="6">
        <v>4962446.88</v>
      </c>
      <c r="N70" s="6">
        <v>1193441.25</v>
      </c>
      <c r="O70" s="6" t="str">
        <f>TRIM(Europe_Sales_Records__2[[#This Row],[Product Type]])</f>
        <v>Office Supplies</v>
      </c>
    </row>
    <row r="71" spans="1:15" x14ac:dyDescent="0.3">
      <c r="A71" s="4">
        <v>445273578</v>
      </c>
      <c r="B71" s="5" t="s">
        <v>313</v>
      </c>
      <c r="C71" s="5" t="s">
        <v>363</v>
      </c>
      <c r="D71" s="5" t="s">
        <v>14</v>
      </c>
      <c r="E71" s="5" t="s">
        <v>53</v>
      </c>
      <c r="F71" s="5" t="s">
        <v>32</v>
      </c>
      <c r="G71" s="5" t="s">
        <v>17</v>
      </c>
      <c r="H71" s="5" t="s">
        <v>455</v>
      </c>
      <c r="I71" s="47">
        <v>5201</v>
      </c>
      <c r="J71" s="6">
        <v>651.21</v>
      </c>
      <c r="K71" s="6">
        <v>524.96</v>
      </c>
      <c r="L71" s="6">
        <v>3386943.21</v>
      </c>
      <c r="M71" s="6">
        <v>2730316.96</v>
      </c>
      <c r="N71" s="6">
        <v>656626.25</v>
      </c>
      <c r="O71" s="6" t="str">
        <f>TRIM(Europe_Sales_Records__2[[#This Row],[Product Type]])</f>
        <v>Office Supplies</v>
      </c>
    </row>
    <row r="72" spans="1:15" x14ac:dyDescent="0.3">
      <c r="A72" s="4">
        <v>672330081</v>
      </c>
      <c r="B72" s="5" t="s">
        <v>34</v>
      </c>
      <c r="C72" s="5" t="s">
        <v>35</v>
      </c>
      <c r="D72" s="5" t="s">
        <v>14</v>
      </c>
      <c r="E72" s="5" t="s">
        <v>31</v>
      </c>
      <c r="F72" s="5" t="s">
        <v>32</v>
      </c>
      <c r="G72" s="5" t="s">
        <v>23</v>
      </c>
      <c r="H72" s="5" t="s">
        <v>456</v>
      </c>
      <c r="I72" s="47">
        <v>6266</v>
      </c>
      <c r="J72" s="6">
        <v>651.21</v>
      </c>
      <c r="K72" s="6">
        <v>524.96</v>
      </c>
      <c r="L72" s="6">
        <v>4080481.86</v>
      </c>
      <c r="M72" s="6">
        <v>3289399.36</v>
      </c>
      <c r="N72" s="6">
        <v>791082.5</v>
      </c>
      <c r="O72" s="6" t="str">
        <f>TRIM(Europe_Sales_Records__2[[#This Row],[Product Type]])</f>
        <v>Office Supplies</v>
      </c>
    </row>
    <row r="73" spans="1:15" x14ac:dyDescent="0.3">
      <c r="A73" s="4">
        <v>434275662</v>
      </c>
      <c r="B73" s="5" t="s">
        <v>392</v>
      </c>
      <c r="C73" s="5" t="s">
        <v>339</v>
      </c>
      <c r="D73" s="5" t="s">
        <v>14</v>
      </c>
      <c r="E73" s="5" t="s">
        <v>21</v>
      </c>
      <c r="F73" s="5" t="s">
        <v>32</v>
      </c>
      <c r="G73" s="5" t="s">
        <v>17</v>
      </c>
      <c r="H73" s="5" t="s">
        <v>455</v>
      </c>
      <c r="I73" s="47">
        <v>674</v>
      </c>
      <c r="J73" s="6">
        <v>651.21</v>
      </c>
      <c r="K73" s="6">
        <v>524.96</v>
      </c>
      <c r="L73" s="6">
        <v>438915.54</v>
      </c>
      <c r="M73" s="6">
        <v>353823.04</v>
      </c>
      <c r="N73" s="6">
        <v>85092.5</v>
      </c>
      <c r="O73" s="6" t="str">
        <f>TRIM(Europe_Sales_Records__2[[#This Row],[Product Type]])</f>
        <v>Office Supplies</v>
      </c>
    </row>
    <row r="74" spans="1:15" x14ac:dyDescent="0.3">
      <c r="A74" s="4">
        <v>575583016</v>
      </c>
      <c r="B74" s="5" t="s">
        <v>248</v>
      </c>
      <c r="C74" s="5" t="s">
        <v>249</v>
      </c>
      <c r="D74" s="5" t="s">
        <v>14</v>
      </c>
      <c r="E74" s="5" t="s">
        <v>21</v>
      </c>
      <c r="F74" s="5" t="s">
        <v>32</v>
      </c>
      <c r="G74" s="5" t="s">
        <v>17</v>
      </c>
      <c r="H74" s="5" t="s">
        <v>458</v>
      </c>
      <c r="I74" s="47">
        <v>6660</v>
      </c>
      <c r="J74" s="6">
        <v>651.21</v>
      </c>
      <c r="K74" s="6">
        <v>524.96</v>
      </c>
      <c r="L74" s="6">
        <v>4337058.5999999996</v>
      </c>
      <c r="M74" s="6">
        <v>3496233.6</v>
      </c>
      <c r="N74" s="6">
        <v>840825</v>
      </c>
      <c r="O74" s="6" t="str">
        <f>TRIM(Europe_Sales_Records__2[[#This Row],[Product Type]])</f>
        <v>Office Supplies</v>
      </c>
    </row>
    <row r="75" spans="1:15" x14ac:dyDescent="0.3">
      <c r="A75" s="4">
        <v>624398362</v>
      </c>
      <c r="B75" s="5" t="s">
        <v>290</v>
      </c>
      <c r="C75" s="5" t="s">
        <v>291</v>
      </c>
      <c r="D75" s="5" t="s">
        <v>14</v>
      </c>
      <c r="E75" s="5" t="s">
        <v>264</v>
      </c>
      <c r="F75" s="5" t="s">
        <v>32</v>
      </c>
      <c r="G75" s="5" t="s">
        <v>17</v>
      </c>
      <c r="H75" s="5" t="s">
        <v>458</v>
      </c>
      <c r="I75" s="47">
        <v>2206</v>
      </c>
      <c r="J75" s="6">
        <v>651.21</v>
      </c>
      <c r="K75" s="6">
        <v>524.96</v>
      </c>
      <c r="L75" s="6">
        <v>1436569.26</v>
      </c>
      <c r="M75" s="6">
        <v>1158061.76</v>
      </c>
      <c r="N75" s="6">
        <v>278507.5</v>
      </c>
      <c r="O75" s="6" t="str">
        <f>TRIM(Europe_Sales_Records__2[[#This Row],[Product Type]])</f>
        <v>Office Supplies</v>
      </c>
    </row>
    <row r="76" spans="1:15" x14ac:dyDescent="0.3">
      <c r="A76" s="4">
        <v>926064479</v>
      </c>
      <c r="B76" s="5" t="s">
        <v>322</v>
      </c>
      <c r="C76" s="5" t="s">
        <v>323</v>
      </c>
      <c r="D76" s="5" t="s">
        <v>14</v>
      </c>
      <c r="E76" s="5" t="s">
        <v>27</v>
      </c>
      <c r="F76" s="5" t="s">
        <v>32</v>
      </c>
      <c r="G76" s="5" t="s">
        <v>23</v>
      </c>
      <c r="H76" s="5" t="s">
        <v>456</v>
      </c>
      <c r="I76" s="47">
        <v>1913</v>
      </c>
      <c r="J76" s="6">
        <v>651.21</v>
      </c>
      <c r="K76" s="6">
        <v>524.96</v>
      </c>
      <c r="L76" s="6">
        <v>1245764.73</v>
      </c>
      <c r="M76" s="6">
        <v>1004248.48</v>
      </c>
      <c r="N76" s="6">
        <v>241516.25</v>
      </c>
      <c r="O76" s="6" t="str">
        <f>TRIM(Europe_Sales_Records__2[[#This Row],[Product Type]])</f>
        <v>Office Supplies</v>
      </c>
    </row>
    <row r="77" spans="1:15" x14ac:dyDescent="0.3">
      <c r="A77" s="4">
        <v>169378983</v>
      </c>
      <c r="B77" s="5" t="s">
        <v>51</v>
      </c>
      <c r="C77" s="5" t="s">
        <v>52</v>
      </c>
      <c r="D77" s="5" t="s">
        <v>14</v>
      </c>
      <c r="E77" s="5" t="s">
        <v>49</v>
      </c>
      <c r="F77" s="5" t="s">
        <v>50</v>
      </c>
      <c r="G77" s="5" t="s">
        <v>23</v>
      </c>
      <c r="H77" s="5" t="s">
        <v>456</v>
      </c>
      <c r="I77" s="47">
        <v>1860</v>
      </c>
      <c r="J77" s="6">
        <v>421.89</v>
      </c>
      <c r="K77" s="6">
        <v>364.69</v>
      </c>
      <c r="L77" s="6">
        <v>784715.4</v>
      </c>
      <c r="M77" s="6">
        <v>678323.4</v>
      </c>
      <c r="N77" s="6">
        <v>106392</v>
      </c>
      <c r="O77" s="6" t="str">
        <f>TRIM(Europe_Sales_Records__2[[#This Row],[Product Type]])</f>
        <v>Meat</v>
      </c>
    </row>
    <row r="78" spans="1:15" x14ac:dyDescent="0.3">
      <c r="A78" s="4">
        <v>436969029</v>
      </c>
      <c r="B78" s="5" t="s">
        <v>313</v>
      </c>
      <c r="C78" s="5" t="s">
        <v>314</v>
      </c>
      <c r="D78" s="5" t="s">
        <v>14</v>
      </c>
      <c r="E78" s="5" t="s">
        <v>166</v>
      </c>
      <c r="F78" s="5" t="s">
        <v>50</v>
      </c>
      <c r="G78" s="5" t="s">
        <v>17</v>
      </c>
      <c r="H78" s="5" t="s">
        <v>458</v>
      </c>
      <c r="I78" s="47">
        <v>7701</v>
      </c>
      <c r="J78" s="6">
        <v>421.89</v>
      </c>
      <c r="K78" s="6">
        <v>364.69</v>
      </c>
      <c r="L78" s="6">
        <v>3248974.89</v>
      </c>
      <c r="M78" s="6">
        <v>2808477.69</v>
      </c>
      <c r="N78" s="6">
        <v>440497.2</v>
      </c>
      <c r="O78" s="6" t="str">
        <f>TRIM(Europe_Sales_Records__2[[#This Row],[Product Type]])</f>
        <v>Meat</v>
      </c>
    </row>
    <row r="79" spans="1:15" x14ac:dyDescent="0.3">
      <c r="A79" s="4">
        <v>876856458</v>
      </c>
      <c r="B79" s="5" t="s">
        <v>441</v>
      </c>
      <c r="C79" s="5" t="s">
        <v>442</v>
      </c>
      <c r="D79" s="5" t="s">
        <v>14</v>
      </c>
      <c r="E79" s="5" t="s">
        <v>243</v>
      </c>
      <c r="F79" s="5" t="s">
        <v>50</v>
      </c>
      <c r="G79" s="5" t="s">
        <v>17</v>
      </c>
      <c r="H79" s="5" t="s">
        <v>455</v>
      </c>
      <c r="I79" s="47">
        <v>166</v>
      </c>
      <c r="J79" s="6">
        <v>421.89</v>
      </c>
      <c r="K79" s="6">
        <v>364.69</v>
      </c>
      <c r="L79" s="6">
        <v>70033.740000000005</v>
      </c>
      <c r="M79" s="6">
        <v>60538.54</v>
      </c>
      <c r="N79" s="6">
        <v>9495.2000000000007</v>
      </c>
      <c r="O79" s="6" t="str">
        <f>TRIM(Europe_Sales_Records__2[[#This Row],[Product Type]])</f>
        <v>Meat</v>
      </c>
    </row>
    <row r="80" spans="1:15" x14ac:dyDescent="0.3">
      <c r="A80" s="4">
        <v>380610454</v>
      </c>
      <c r="B80" s="5" t="s">
        <v>354</v>
      </c>
      <c r="C80" s="5" t="s">
        <v>193</v>
      </c>
      <c r="D80" s="5" t="s">
        <v>14</v>
      </c>
      <c r="E80" s="5" t="s">
        <v>83</v>
      </c>
      <c r="F80" s="5" t="s">
        <v>50</v>
      </c>
      <c r="G80" s="5" t="s">
        <v>17</v>
      </c>
      <c r="H80" s="5" t="s">
        <v>458</v>
      </c>
      <c r="I80" s="47">
        <v>9946</v>
      </c>
      <c r="J80" s="6">
        <v>421.89</v>
      </c>
      <c r="K80" s="6">
        <v>364.69</v>
      </c>
      <c r="L80" s="6">
        <v>4196117.9400000004</v>
      </c>
      <c r="M80" s="6">
        <v>3627206.74</v>
      </c>
      <c r="N80" s="6">
        <v>568911.19999999995</v>
      </c>
      <c r="O80" s="6" t="str">
        <f>TRIM(Europe_Sales_Records__2[[#This Row],[Product Type]])</f>
        <v>Meat</v>
      </c>
    </row>
    <row r="81" spans="1:15" x14ac:dyDescent="0.3">
      <c r="A81" s="4">
        <v>524972951</v>
      </c>
      <c r="B81" s="5" t="s">
        <v>451</v>
      </c>
      <c r="C81" s="5" t="s">
        <v>452</v>
      </c>
      <c r="D81" s="5" t="s">
        <v>14</v>
      </c>
      <c r="E81" s="5" t="s">
        <v>342</v>
      </c>
      <c r="F81" s="5" t="s">
        <v>50</v>
      </c>
      <c r="G81" s="5" t="s">
        <v>17</v>
      </c>
      <c r="H81" s="5" t="s">
        <v>456</v>
      </c>
      <c r="I81" s="47">
        <v>17</v>
      </c>
      <c r="J81" s="6">
        <v>421.89</v>
      </c>
      <c r="K81" s="6">
        <v>364.69</v>
      </c>
      <c r="L81" s="6">
        <v>7172.13</v>
      </c>
      <c r="M81" s="6">
        <v>6199.73</v>
      </c>
      <c r="N81" s="6">
        <v>972.4</v>
      </c>
      <c r="O81" s="6" t="str">
        <f>TRIM(Europe_Sales_Records__2[[#This Row],[Product Type]])</f>
        <v>Meat</v>
      </c>
    </row>
    <row r="82" spans="1:15" x14ac:dyDescent="0.3">
      <c r="A82" s="4">
        <v>668280589</v>
      </c>
      <c r="B82" s="5" t="s">
        <v>409</v>
      </c>
      <c r="C82" s="5" t="s">
        <v>410</v>
      </c>
      <c r="D82" s="5" t="s">
        <v>14</v>
      </c>
      <c r="E82" s="5" t="s">
        <v>86</v>
      </c>
      <c r="F82" s="5" t="s">
        <v>50</v>
      </c>
      <c r="G82" s="5" t="s">
        <v>23</v>
      </c>
      <c r="H82" s="5" t="s">
        <v>456</v>
      </c>
      <c r="I82" s="47">
        <v>7932</v>
      </c>
      <c r="J82" s="6">
        <v>421.89</v>
      </c>
      <c r="K82" s="6">
        <v>364.69</v>
      </c>
      <c r="L82" s="6">
        <v>3346431.48</v>
      </c>
      <c r="M82" s="6">
        <v>2892721.08</v>
      </c>
      <c r="N82" s="6">
        <v>453710.4</v>
      </c>
      <c r="O82" s="6" t="str">
        <f>TRIM(Europe_Sales_Records__2[[#This Row],[Product Type]])</f>
        <v>Meat</v>
      </c>
    </row>
    <row r="83" spans="1:15" x14ac:dyDescent="0.3">
      <c r="A83" s="4">
        <v>546081721</v>
      </c>
      <c r="B83" s="5" t="s">
        <v>234</v>
      </c>
      <c r="C83" s="5" t="s">
        <v>235</v>
      </c>
      <c r="D83" s="5" t="s">
        <v>14</v>
      </c>
      <c r="E83" s="5" t="s">
        <v>89</v>
      </c>
      <c r="F83" s="5" t="s">
        <v>50</v>
      </c>
      <c r="G83" s="5" t="s">
        <v>23</v>
      </c>
      <c r="H83" s="5" t="s">
        <v>455</v>
      </c>
      <c r="I83" s="47">
        <v>6571</v>
      </c>
      <c r="J83" s="6">
        <v>421.89</v>
      </c>
      <c r="K83" s="6">
        <v>364.69</v>
      </c>
      <c r="L83" s="6">
        <v>2772239.19</v>
      </c>
      <c r="M83" s="6">
        <v>2396377.9900000002</v>
      </c>
      <c r="N83" s="6">
        <v>375861.2</v>
      </c>
      <c r="O83" s="6" t="str">
        <f>TRIM(Europe_Sales_Records__2[[#This Row],[Product Type]])</f>
        <v>Meat</v>
      </c>
    </row>
    <row r="84" spans="1:15" x14ac:dyDescent="0.3">
      <c r="A84" s="4">
        <v>696844613</v>
      </c>
      <c r="B84" s="5" t="s">
        <v>216</v>
      </c>
      <c r="C84" s="5" t="s">
        <v>217</v>
      </c>
      <c r="D84" s="5" t="s">
        <v>14</v>
      </c>
      <c r="E84" s="5" t="s">
        <v>115</v>
      </c>
      <c r="F84" s="5" t="s">
        <v>50</v>
      </c>
      <c r="G84" s="5" t="s">
        <v>23</v>
      </c>
      <c r="H84" s="5" t="s">
        <v>457</v>
      </c>
      <c r="I84" s="47">
        <v>661</v>
      </c>
      <c r="J84" s="6">
        <v>421.89</v>
      </c>
      <c r="K84" s="6">
        <v>364.69</v>
      </c>
      <c r="L84" s="6">
        <v>278869.28999999998</v>
      </c>
      <c r="M84" s="6">
        <v>241060.09</v>
      </c>
      <c r="N84" s="6">
        <v>37809.199999999997</v>
      </c>
      <c r="O84" s="6" t="str">
        <f>TRIM(Europe_Sales_Records__2[[#This Row],[Product Type]])</f>
        <v>Meat</v>
      </c>
    </row>
    <row r="85" spans="1:15" x14ac:dyDescent="0.3">
      <c r="A85" s="4">
        <v>747774398</v>
      </c>
      <c r="B85" s="5" t="s">
        <v>68</v>
      </c>
      <c r="C85" s="5" t="s">
        <v>69</v>
      </c>
      <c r="D85" s="5" t="s">
        <v>14</v>
      </c>
      <c r="E85" s="5" t="s">
        <v>67</v>
      </c>
      <c r="F85" s="5" t="s">
        <v>50</v>
      </c>
      <c r="G85" s="5" t="s">
        <v>17</v>
      </c>
      <c r="H85" s="5" t="s">
        <v>457</v>
      </c>
      <c r="I85" s="47">
        <v>1916</v>
      </c>
      <c r="J85" s="6">
        <v>421.89</v>
      </c>
      <c r="K85" s="6">
        <v>364.69</v>
      </c>
      <c r="L85" s="6">
        <v>808341.24</v>
      </c>
      <c r="M85" s="6">
        <v>698746.04</v>
      </c>
      <c r="N85" s="6">
        <v>109595.2</v>
      </c>
      <c r="O85" s="6" t="str">
        <f>TRIM(Europe_Sales_Records__2[[#This Row],[Product Type]])</f>
        <v>Meat</v>
      </c>
    </row>
    <row r="86" spans="1:15" x14ac:dyDescent="0.3">
      <c r="A86" s="4">
        <v>847317397</v>
      </c>
      <c r="B86" s="5" t="s">
        <v>81</v>
      </c>
      <c r="C86" s="5" t="s">
        <v>82</v>
      </c>
      <c r="D86" s="5" t="s">
        <v>14</v>
      </c>
      <c r="E86" s="5" t="s">
        <v>80</v>
      </c>
      <c r="F86" s="5" t="s">
        <v>50</v>
      </c>
      <c r="G86" s="5" t="s">
        <v>17</v>
      </c>
      <c r="H86" s="5" t="s">
        <v>457</v>
      </c>
      <c r="I86" s="47">
        <v>8902</v>
      </c>
      <c r="J86" s="6">
        <v>421.89</v>
      </c>
      <c r="K86" s="6">
        <v>364.69</v>
      </c>
      <c r="L86" s="6">
        <v>3755664.78</v>
      </c>
      <c r="M86" s="6">
        <v>3246470.38</v>
      </c>
      <c r="N86" s="6">
        <v>509194.4</v>
      </c>
      <c r="O86" s="6" t="str">
        <f>TRIM(Europe_Sales_Records__2[[#This Row],[Product Type]])</f>
        <v>Meat</v>
      </c>
    </row>
    <row r="87" spans="1:15" x14ac:dyDescent="0.3">
      <c r="A87" s="4">
        <v>515773189</v>
      </c>
      <c r="B87" s="5" t="s">
        <v>118</v>
      </c>
      <c r="C87" s="5" t="s">
        <v>250</v>
      </c>
      <c r="D87" s="5" t="s">
        <v>14</v>
      </c>
      <c r="E87" s="5" t="s">
        <v>132</v>
      </c>
      <c r="F87" s="5" t="s">
        <v>50</v>
      </c>
      <c r="G87" s="5" t="s">
        <v>17</v>
      </c>
      <c r="H87" s="5" t="s">
        <v>455</v>
      </c>
      <c r="I87" s="47">
        <v>7603</v>
      </c>
      <c r="J87" s="6">
        <v>421.89</v>
      </c>
      <c r="K87" s="6">
        <v>364.69</v>
      </c>
      <c r="L87" s="6">
        <v>3207629.67</v>
      </c>
      <c r="M87" s="6">
        <v>2772738.07</v>
      </c>
      <c r="N87" s="6">
        <v>434891.6</v>
      </c>
      <c r="O87" s="6" t="str">
        <f>TRIM(Europe_Sales_Records__2[[#This Row],[Product Type]])</f>
        <v>Meat</v>
      </c>
    </row>
    <row r="88" spans="1:15" x14ac:dyDescent="0.3">
      <c r="A88" s="4">
        <v>245440852</v>
      </c>
      <c r="B88" s="5" t="s">
        <v>164</v>
      </c>
      <c r="C88" s="5" t="s">
        <v>165</v>
      </c>
      <c r="D88" s="5" t="s">
        <v>14</v>
      </c>
      <c r="E88" s="5" t="s">
        <v>163</v>
      </c>
      <c r="F88" s="5" t="s">
        <v>50</v>
      </c>
      <c r="G88" s="5" t="s">
        <v>23</v>
      </c>
      <c r="H88" s="5" t="s">
        <v>456</v>
      </c>
      <c r="I88" s="47">
        <v>257</v>
      </c>
      <c r="J88" s="6">
        <v>421.89</v>
      </c>
      <c r="K88" s="6">
        <v>364.69</v>
      </c>
      <c r="L88" s="6">
        <v>108425.73</v>
      </c>
      <c r="M88" s="6">
        <v>93725.33</v>
      </c>
      <c r="N88" s="6">
        <v>14700.4</v>
      </c>
      <c r="O88" s="6" t="str">
        <f>TRIM(Europe_Sales_Records__2[[#This Row],[Product Type]])</f>
        <v>Meat</v>
      </c>
    </row>
    <row r="89" spans="1:15" x14ac:dyDescent="0.3">
      <c r="A89" s="4">
        <v>349212729</v>
      </c>
      <c r="B89" s="5" t="s">
        <v>437</v>
      </c>
      <c r="C89" s="5" t="s">
        <v>438</v>
      </c>
      <c r="D89" s="5" t="s">
        <v>14</v>
      </c>
      <c r="E89" s="5" t="s">
        <v>31</v>
      </c>
      <c r="F89" s="5" t="s">
        <v>50</v>
      </c>
      <c r="G89" s="5" t="s">
        <v>23</v>
      </c>
      <c r="H89" s="5" t="s">
        <v>458</v>
      </c>
      <c r="I89" s="47">
        <v>8662</v>
      </c>
      <c r="J89" s="6">
        <v>421.89</v>
      </c>
      <c r="K89" s="6">
        <v>364.69</v>
      </c>
      <c r="L89" s="6">
        <v>3654411.18</v>
      </c>
      <c r="M89" s="6">
        <v>3158944.78</v>
      </c>
      <c r="N89" s="6">
        <v>495466.4</v>
      </c>
      <c r="O89" s="6" t="str">
        <f>TRIM(Europe_Sales_Records__2[[#This Row],[Product Type]])</f>
        <v>Meat</v>
      </c>
    </row>
    <row r="90" spans="1:15" x14ac:dyDescent="0.3">
      <c r="A90" s="4">
        <v>410740888</v>
      </c>
      <c r="B90" s="5" t="s">
        <v>78</v>
      </c>
      <c r="C90" s="5" t="s">
        <v>79</v>
      </c>
      <c r="D90" s="5" t="s">
        <v>14</v>
      </c>
      <c r="E90" s="5" t="s">
        <v>21</v>
      </c>
      <c r="F90" s="5" t="s">
        <v>50</v>
      </c>
      <c r="G90" s="5" t="s">
        <v>23</v>
      </c>
      <c r="H90" s="5" t="s">
        <v>455</v>
      </c>
      <c r="I90" s="47">
        <v>6211</v>
      </c>
      <c r="J90" s="6">
        <v>421.89</v>
      </c>
      <c r="K90" s="6">
        <v>364.69</v>
      </c>
      <c r="L90" s="6">
        <v>2620358.79</v>
      </c>
      <c r="M90" s="6">
        <v>2265089.59</v>
      </c>
      <c r="N90" s="6">
        <v>355269.2</v>
      </c>
      <c r="O90" s="6" t="str">
        <f>TRIM(Europe_Sales_Records__2[[#This Row],[Product Type]])</f>
        <v>Meat</v>
      </c>
    </row>
    <row r="91" spans="1:15" x14ac:dyDescent="0.3">
      <c r="A91" s="4">
        <v>693210542</v>
      </c>
      <c r="B91" s="5" t="s">
        <v>338</v>
      </c>
      <c r="C91" s="5" t="s">
        <v>339</v>
      </c>
      <c r="D91" s="5" t="s">
        <v>14</v>
      </c>
      <c r="E91" s="5" t="s">
        <v>122</v>
      </c>
      <c r="F91" s="5" t="s">
        <v>50</v>
      </c>
      <c r="G91" s="5" t="s">
        <v>23</v>
      </c>
      <c r="H91" s="5" t="s">
        <v>456</v>
      </c>
      <c r="I91" s="47">
        <v>5259</v>
      </c>
      <c r="J91" s="6">
        <v>421.89</v>
      </c>
      <c r="K91" s="6">
        <v>364.69</v>
      </c>
      <c r="L91" s="6">
        <v>2218719.5099999998</v>
      </c>
      <c r="M91" s="6">
        <v>1917904.71</v>
      </c>
      <c r="N91" s="6">
        <v>300814.8</v>
      </c>
      <c r="O91" s="6" t="str">
        <f>TRIM(Europe_Sales_Records__2[[#This Row],[Product Type]])</f>
        <v>Meat</v>
      </c>
    </row>
    <row r="92" spans="1:15" x14ac:dyDescent="0.3">
      <c r="A92" s="4">
        <v>552931869</v>
      </c>
      <c r="B92" s="5" t="s">
        <v>419</v>
      </c>
      <c r="C92" s="5" t="s">
        <v>420</v>
      </c>
      <c r="D92" s="5" t="s">
        <v>14</v>
      </c>
      <c r="E92" s="5" t="s">
        <v>220</v>
      </c>
      <c r="F92" s="5" t="s">
        <v>50</v>
      </c>
      <c r="G92" s="5" t="s">
        <v>17</v>
      </c>
      <c r="H92" s="5" t="s">
        <v>455</v>
      </c>
      <c r="I92" s="47">
        <v>3682</v>
      </c>
      <c r="J92" s="6">
        <v>421.89</v>
      </c>
      <c r="K92" s="6">
        <v>364.69</v>
      </c>
      <c r="L92" s="6">
        <v>1553398.98</v>
      </c>
      <c r="M92" s="6">
        <v>1342788.58</v>
      </c>
      <c r="N92" s="6">
        <v>210610.4</v>
      </c>
      <c r="O92" s="6" t="str">
        <f>TRIM(Europe_Sales_Records__2[[#This Row],[Product Type]])</f>
        <v>Meat</v>
      </c>
    </row>
    <row r="93" spans="1:15" x14ac:dyDescent="0.3">
      <c r="A93" s="4">
        <v>986449801</v>
      </c>
      <c r="B93" s="5" t="s">
        <v>212</v>
      </c>
      <c r="C93" s="5" t="s">
        <v>213</v>
      </c>
      <c r="D93" s="5" t="s">
        <v>14</v>
      </c>
      <c r="E93" s="5" t="s">
        <v>141</v>
      </c>
      <c r="F93" s="5" t="s">
        <v>50</v>
      </c>
      <c r="G93" s="5" t="s">
        <v>17</v>
      </c>
      <c r="H93" s="5" t="s">
        <v>455</v>
      </c>
      <c r="I93" s="47">
        <v>1272</v>
      </c>
      <c r="J93" s="6">
        <v>421.89</v>
      </c>
      <c r="K93" s="6">
        <v>364.69</v>
      </c>
      <c r="L93" s="6">
        <v>536644.07999999996</v>
      </c>
      <c r="M93" s="6">
        <v>463885.68</v>
      </c>
      <c r="N93" s="6">
        <v>72758.399999999994</v>
      </c>
      <c r="O93" s="6" t="str">
        <f>TRIM(Europe_Sales_Records__2[[#This Row],[Product Type]])</f>
        <v>Meat</v>
      </c>
    </row>
    <row r="94" spans="1:15" x14ac:dyDescent="0.3">
      <c r="A94" s="4">
        <v>873432672</v>
      </c>
      <c r="B94" s="5" t="s">
        <v>399</v>
      </c>
      <c r="C94" s="5" t="s">
        <v>400</v>
      </c>
      <c r="D94" s="5" t="s">
        <v>14</v>
      </c>
      <c r="E94" s="5" t="s">
        <v>97</v>
      </c>
      <c r="F94" s="5" t="s">
        <v>71</v>
      </c>
      <c r="G94" s="5" t="s">
        <v>23</v>
      </c>
      <c r="H94" s="5" t="s">
        <v>458</v>
      </c>
      <c r="I94" s="47">
        <v>6992</v>
      </c>
      <c r="J94" s="6">
        <v>668.27</v>
      </c>
      <c r="K94" s="6">
        <v>502.54</v>
      </c>
      <c r="L94" s="6">
        <v>4672543.84</v>
      </c>
      <c r="M94" s="6">
        <v>3513759.68</v>
      </c>
      <c r="N94" s="6">
        <v>1158784.1599999999</v>
      </c>
      <c r="O94" s="6" t="str">
        <f>TRIM(Europe_Sales_Records__2[[#This Row],[Product Type]])</f>
        <v>Household</v>
      </c>
    </row>
    <row r="95" spans="1:15" x14ac:dyDescent="0.3">
      <c r="A95" s="4">
        <v>585362994</v>
      </c>
      <c r="B95" s="5" t="s">
        <v>244</v>
      </c>
      <c r="C95" s="5" t="s">
        <v>245</v>
      </c>
      <c r="D95" s="5" t="s">
        <v>14</v>
      </c>
      <c r="E95" s="5" t="s">
        <v>243</v>
      </c>
      <c r="F95" s="5" t="s">
        <v>71</v>
      </c>
      <c r="G95" s="5" t="s">
        <v>17</v>
      </c>
      <c r="H95" s="5" t="s">
        <v>456</v>
      </c>
      <c r="I95" s="47">
        <v>773</v>
      </c>
      <c r="J95" s="6">
        <v>668.27</v>
      </c>
      <c r="K95" s="6">
        <v>502.54</v>
      </c>
      <c r="L95" s="6">
        <v>516572.71</v>
      </c>
      <c r="M95" s="6">
        <v>388463.42</v>
      </c>
      <c r="N95" s="6">
        <v>128109.29</v>
      </c>
      <c r="O95" s="6" t="str">
        <f>TRIM(Europe_Sales_Records__2[[#This Row],[Product Type]])</f>
        <v>Household</v>
      </c>
    </row>
    <row r="96" spans="1:15" x14ac:dyDescent="0.3">
      <c r="A96" s="4">
        <v>194176757</v>
      </c>
      <c r="B96" s="5" t="s">
        <v>72</v>
      </c>
      <c r="C96" s="5" t="s">
        <v>73</v>
      </c>
      <c r="D96" s="5" t="s">
        <v>14</v>
      </c>
      <c r="E96" s="5" t="s">
        <v>70</v>
      </c>
      <c r="F96" s="5" t="s">
        <v>71</v>
      </c>
      <c r="G96" s="5" t="s">
        <v>23</v>
      </c>
      <c r="H96" s="5" t="s">
        <v>457</v>
      </c>
      <c r="I96" s="47">
        <v>72</v>
      </c>
      <c r="J96" s="6">
        <v>668.27</v>
      </c>
      <c r="K96" s="6">
        <v>502.54</v>
      </c>
      <c r="L96" s="6">
        <v>48115.44</v>
      </c>
      <c r="M96" s="6">
        <v>36182.879999999997</v>
      </c>
      <c r="N96" s="6">
        <v>11932.56</v>
      </c>
      <c r="O96" s="6" t="str">
        <f>TRIM(Europe_Sales_Records__2[[#This Row],[Product Type]])</f>
        <v>Household</v>
      </c>
    </row>
    <row r="97" spans="1:15" x14ac:dyDescent="0.3">
      <c r="A97" s="4">
        <v>232196319</v>
      </c>
      <c r="B97" s="5" t="s">
        <v>90</v>
      </c>
      <c r="C97" s="5" t="s">
        <v>91</v>
      </c>
      <c r="D97" s="5" t="s">
        <v>14</v>
      </c>
      <c r="E97" s="5" t="s">
        <v>89</v>
      </c>
      <c r="F97" s="5" t="s">
        <v>71</v>
      </c>
      <c r="G97" s="5" t="s">
        <v>17</v>
      </c>
      <c r="H97" s="5" t="s">
        <v>456</v>
      </c>
      <c r="I97" s="47">
        <v>905</v>
      </c>
      <c r="J97" s="6">
        <v>668.27</v>
      </c>
      <c r="K97" s="6">
        <v>502.54</v>
      </c>
      <c r="L97" s="6">
        <v>604784.35</v>
      </c>
      <c r="M97" s="6">
        <v>454798.7</v>
      </c>
      <c r="N97" s="6">
        <v>149985.65</v>
      </c>
      <c r="O97" s="6" t="str">
        <f>TRIM(Europe_Sales_Records__2[[#This Row],[Product Type]])</f>
        <v>Household</v>
      </c>
    </row>
    <row r="98" spans="1:15" x14ac:dyDescent="0.3">
      <c r="A98" s="4">
        <v>384128224</v>
      </c>
      <c r="B98" s="5" t="s">
        <v>188</v>
      </c>
      <c r="C98" s="5" t="s">
        <v>189</v>
      </c>
      <c r="D98" s="5" t="s">
        <v>14</v>
      </c>
      <c r="E98" s="5" t="s">
        <v>115</v>
      </c>
      <c r="F98" s="5" t="s">
        <v>71</v>
      </c>
      <c r="G98" s="5" t="s">
        <v>17</v>
      </c>
      <c r="H98" s="5" t="s">
        <v>457</v>
      </c>
      <c r="I98" s="47">
        <v>933</v>
      </c>
      <c r="J98" s="6">
        <v>668.27</v>
      </c>
      <c r="K98" s="6">
        <v>502.54</v>
      </c>
      <c r="L98" s="6">
        <v>623495.91</v>
      </c>
      <c r="M98" s="6">
        <v>468869.82</v>
      </c>
      <c r="N98" s="6">
        <v>154626.09</v>
      </c>
      <c r="O98" s="6" t="str">
        <f>TRIM(Europe_Sales_Records__2[[#This Row],[Product Type]])</f>
        <v>Household</v>
      </c>
    </row>
    <row r="99" spans="1:15" x14ac:dyDescent="0.3">
      <c r="A99" s="4">
        <v>142987763</v>
      </c>
      <c r="B99" s="5" t="s">
        <v>301</v>
      </c>
      <c r="C99" s="5" t="s">
        <v>302</v>
      </c>
      <c r="D99" s="5" t="s">
        <v>14</v>
      </c>
      <c r="E99" s="5" t="s">
        <v>67</v>
      </c>
      <c r="F99" s="5" t="s">
        <v>71</v>
      </c>
      <c r="G99" s="5" t="s">
        <v>17</v>
      </c>
      <c r="H99" s="5" t="s">
        <v>456</v>
      </c>
      <c r="I99" s="47">
        <v>2112</v>
      </c>
      <c r="J99" s="6">
        <v>668.27</v>
      </c>
      <c r="K99" s="6">
        <v>502.54</v>
      </c>
      <c r="L99" s="6">
        <v>1411386.24</v>
      </c>
      <c r="M99" s="6">
        <v>1061364.48</v>
      </c>
      <c r="N99" s="6">
        <v>350021.76</v>
      </c>
      <c r="O99" s="6" t="str">
        <f>TRIM(Europe_Sales_Records__2[[#This Row],[Product Type]])</f>
        <v>Household</v>
      </c>
    </row>
    <row r="100" spans="1:15" x14ac:dyDescent="0.3">
      <c r="A100" s="4">
        <v>990774810</v>
      </c>
      <c r="B100" s="5" t="s">
        <v>190</v>
      </c>
      <c r="C100" s="5" t="s">
        <v>191</v>
      </c>
      <c r="D100" s="5" t="s">
        <v>14</v>
      </c>
      <c r="E100" s="5" t="s">
        <v>67</v>
      </c>
      <c r="F100" s="5" t="s">
        <v>71</v>
      </c>
      <c r="G100" s="5" t="s">
        <v>17</v>
      </c>
      <c r="H100" s="5" t="s">
        <v>458</v>
      </c>
      <c r="I100" s="47">
        <v>1138</v>
      </c>
      <c r="J100" s="6">
        <v>668.27</v>
      </c>
      <c r="K100" s="6">
        <v>502.54</v>
      </c>
      <c r="L100" s="6">
        <v>760491.26</v>
      </c>
      <c r="M100" s="6">
        <v>571890.52</v>
      </c>
      <c r="N100" s="6">
        <v>188600.74</v>
      </c>
      <c r="O100" s="6" t="str">
        <f>TRIM(Europe_Sales_Records__2[[#This Row],[Product Type]])</f>
        <v>Household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51C8-B53D-4953-BD7D-FF27E4CD06DD}">
  <dimension ref="A1:R65"/>
  <sheetViews>
    <sheetView tabSelected="1" workbookViewId="0">
      <selection activeCell="H28" sqref="H28"/>
    </sheetView>
  </sheetViews>
  <sheetFormatPr defaultRowHeight="14.4" x14ac:dyDescent="0.3"/>
  <cols>
    <col min="2" max="2" width="5" customWidth="1"/>
    <col min="3" max="3" width="22.6640625" customWidth="1"/>
    <col min="4" max="4" width="13.88671875" customWidth="1"/>
    <col min="5" max="5" width="8.88671875" customWidth="1"/>
    <col min="6" max="6" width="10.21875" customWidth="1"/>
    <col min="7" max="7" width="4.109375" customWidth="1"/>
    <col min="8" max="8" width="23.88671875" customWidth="1"/>
    <col min="9" max="9" width="9.88671875" bestFit="1" customWidth="1"/>
    <col min="11" max="11" width="5.6640625" customWidth="1"/>
    <col min="12" max="12" width="28.33203125" customWidth="1"/>
    <col min="13" max="13" width="14.5546875" customWidth="1"/>
  </cols>
  <sheetData>
    <row r="1" spans="1:18" ht="23.4" x14ac:dyDescent="0.45">
      <c r="A1" s="43" t="s">
        <v>470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4" spans="1:18" x14ac:dyDescent="0.3">
      <c r="B4" s="40" t="s">
        <v>462</v>
      </c>
      <c r="C4" s="41"/>
      <c r="D4" s="42"/>
      <c r="G4" s="44" t="s">
        <v>461</v>
      </c>
      <c r="H4" s="45"/>
      <c r="I4" s="46"/>
      <c r="K4" s="44" t="s">
        <v>464</v>
      </c>
      <c r="L4" s="45"/>
      <c r="M4" s="45"/>
      <c r="N4" s="45"/>
      <c r="O4" s="45"/>
      <c r="P4" s="46"/>
    </row>
    <row r="6" spans="1:18" x14ac:dyDescent="0.3">
      <c r="B6" s="32" t="s">
        <v>467</v>
      </c>
      <c r="C6" s="33" t="s">
        <v>1</v>
      </c>
      <c r="D6" s="34" t="s">
        <v>468</v>
      </c>
      <c r="G6" s="35" t="s">
        <v>467</v>
      </c>
      <c r="H6" s="36" t="s">
        <v>1</v>
      </c>
      <c r="I6" s="34" t="s">
        <v>468</v>
      </c>
      <c r="M6" t="s">
        <v>4</v>
      </c>
    </row>
    <row r="7" spans="1:18" x14ac:dyDescent="0.3">
      <c r="B7" s="17">
        <v>1</v>
      </c>
      <c r="C7" s="11" t="str" cm="1">
        <f t="array" ref="C7:C47">_xlfn.UNIQUE(Europe_Sales_Records__2[Country])</f>
        <v>Sweden</v>
      </c>
      <c r="D7" s="8">
        <f>SUMIF(Europe_Sales_Records__2[Country], Insights!$C7, Europe_Sales_Records__2[Total Revenue])</f>
        <v>177323.06</v>
      </c>
      <c r="G7" s="18">
        <v>1</v>
      </c>
      <c r="H7" s="11" t="str" cm="1">
        <f t="array" ref="H7:I16">_xlfn.TAKE(_xlfn._xlws.SORT(C7:D48,2,-1),10)</f>
        <v>Portugal</v>
      </c>
      <c r="I7" s="29">
        <v>9829878.2400000002</v>
      </c>
      <c r="K7" s="32" t="s">
        <v>467</v>
      </c>
      <c r="L7" s="37" t="s">
        <v>466</v>
      </c>
      <c r="M7" s="38" t="str" cm="1">
        <f t="array" ref="M7:P7">TRANSPOSE(_xlfn.UNIQUE(Europe_Sales_Records__2[Order Priority],FALSE))</f>
        <v>High</v>
      </c>
      <c r="N7" s="38" t="str">
        <v>Low</v>
      </c>
      <c r="O7" s="38" t="str">
        <v>Medium</v>
      </c>
      <c r="P7" s="39" t="str">
        <v>Critical</v>
      </c>
    </row>
    <row r="8" spans="1:18" x14ac:dyDescent="0.3">
      <c r="B8" s="18">
        <v>2</v>
      </c>
      <c r="C8" s="13" t="str">
        <v>Serbia</v>
      </c>
      <c r="D8" s="9">
        <f>SUMIF(Europe_Sales_Records__2[Country], Insights!$C8, Europe_Sales_Records__2[Total Revenue])</f>
        <v>5079035.8000000007</v>
      </c>
      <c r="G8" s="18">
        <v>2</v>
      </c>
      <c r="H8" s="13" t="str">
        <v>Poland</v>
      </c>
      <c r="I8" s="30">
        <v>9586346.3399999999</v>
      </c>
      <c r="K8" s="17">
        <v>1</v>
      </c>
      <c r="L8" s="12" t="str" cm="1">
        <f t="array" ref="L8:L13">_xlfn.UNIQUE(Europe_Sales_Records__2[Product Type])</f>
        <v>Vegetables</v>
      </c>
      <c r="M8" s="24" cm="1">
        <f t="array" ref="M8">COUNTIFS(Product_Type,Insights!$L8,Order_Priority,Insights!M$7)</f>
        <v>2</v>
      </c>
      <c r="N8" s="24" cm="1">
        <f t="array" ref="N8">COUNTIFS(Product_Type,Insights!$L8,Order_Priority,Insights!N$7)</f>
        <v>6</v>
      </c>
      <c r="O8" s="24" cm="1">
        <f t="array" ref="O8">COUNTIFS(Product_Type,Insights!$L8,Order_Priority,Insights!O$7)</f>
        <v>3</v>
      </c>
      <c r="P8" s="25" cm="1">
        <f t="array" ref="P8">COUNTIFS(Product_Type,Insights!$L8,Order_Priority,Insights!P$7)</f>
        <v>6</v>
      </c>
    </row>
    <row r="9" spans="1:18" x14ac:dyDescent="0.3">
      <c r="B9" s="18">
        <v>3</v>
      </c>
      <c r="C9" s="13" t="str">
        <v xml:space="preserve">Moldova </v>
      </c>
      <c r="D9" s="9">
        <f>SUMIF(Europe_Sales_Records__2[Country], Insights!$C9, Europe_Sales_Records__2[Total Revenue])</f>
        <v>3797554.79</v>
      </c>
      <c r="G9" s="18">
        <v>3</v>
      </c>
      <c r="H9" s="13" t="str">
        <v>Bulgaria</v>
      </c>
      <c r="I9" s="30">
        <v>8700690.4399999995</v>
      </c>
      <c r="K9" s="18">
        <v>2</v>
      </c>
      <c r="L9" s="14" t="str">
        <v>Snacks</v>
      </c>
      <c r="M9" s="23" cm="1">
        <f t="array" ref="M9">COUNTIFS(Product_Type,Insights!$L9,Order_Priority,Insights!M$7)</f>
        <v>6</v>
      </c>
      <c r="N9" s="23" cm="1">
        <f t="array" ref="N9">COUNTIFS(Product_Type,Insights!$L9,Order_Priority,Insights!N$7)</f>
        <v>6</v>
      </c>
      <c r="O9" s="23" cm="1">
        <f t="array" ref="O9">COUNTIFS(Product_Type,Insights!$L9,Order_Priority,Insights!O$7)</f>
        <v>2</v>
      </c>
      <c r="P9" s="26" cm="1">
        <f t="array" ref="P9">COUNTIFS(Product_Type,Insights!$L9,Order_Priority,Insights!P$7)</f>
        <v>3</v>
      </c>
    </row>
    <row r="10" spans="1:18" x14ac:dyDescent="0.3">
      <c r="B10" s="18">
        <v>4</v>
      </c>
      <c r="C10" s="13" t="str">
        <v>Malta</v>
      </c>
      <c r="D10" s="9">
        <f>SUMIF(Europe_Sales_Records__2[Country], Insights!$C10, Europe_Sales_Records__2[Total Revenue])</f>
        <v>2626862.7799999998</v>
      </c>
      <c r="G10" s="18">
        <v>4</v>
      </c>
      <c r="H10" s="13" t="str">
        <v>Bosnia and Herzegovina</v>
      </c>
      <c r="I10" s="30">
        <v>7947356.5899999999</v>
      </c>
      <c r="K10" s="18">
        <v>3</v>
      </c>
      <c r="L10" s="14" t="str">
        <v>Personal Care</v>
      </c>
      <c r="M10" s="23" cm="1">
        <f t="array" ref="M10">COUNTIFS(Product_Type,Insights!$L10,Order_Priority,Insights!M$7)</f>
        <v>6</v>
      </c>
      <c r="N10" s="23" cm="1">
        <f t="array" ref="N10">COUNTIFS(Product_Type,Insights!$L10,Order_Priority,Insights!N$7)</f>
        <v>7</v>
      </c>
      <c r="O10" s="23" cm="1">
        <f t="array" ref="O10">COUNTIFS(Product_Type,Insights!$L10,Order_Priority,Insights!O$7)</f>
        <v>8</v>
      </c>
      <c r="P10" s="26" cm="1">
        <f t="array" ref="P10">COUNTIFS(Product_Type,Insights!$L10,Order_Priority,Insights!P$7)</f>
        <v>2</v>
      </c>
    </row>
    <row r="11" spans="1:18" x14ac:dyDescent="0.3">
      <c r="B11" s="18">
        <v>5</v>
      </c>
      <c r="C11" s="13" t="str">
        <v>Luxembourg</v>
      </c>
      <c r="D11" s="9">
        <f>SUMIF(Europe_Sales_Records__2[Country], Insights!$C11, Europe_Sales_Records__2[Total Revenue])</f>
        <v>1623866.44</v>
      </c>
      <c r="G11" s="18">
        <v>5</v>
      </c>
      <c r="H11" s="13" t="str">
        <v>Italy</v>
      </c>
      <c r="I11" s="30">
        <v>7674961.6500000004</v>
      </c>
      <c r="K11" s="18">
        <v>4</v>
      </c>
      <c r="L11" s="14" t="str">
        <v>Office Supplies</v>
      </c>
      <c r="M11" s="23" cm="1">
        <f t="array" ref="M11">COUNTIFS(Product_Type,Insights!$L11,Order_Priority,Insights!M$7)</f>
        <v>7</v>
      </c>
      <c r="N11" s="23" cm="1">
        <f t="array" ref="N11">COUNTIFS(Product_Type,Insights!$L11,Order_Priority,Insights!N$7)</f>
        <v>3</v>
      </c>
      <c r="O11" s="23" cm="1">
        <f t="array" ref="O11">COUNTIFS(Product_Type,Insights!$L11,Order_Priority,Insights!O$7)</f>
        <v>2</v>
      </c>
      <c r="P11" s="26" cm="1">
        <f t="array" ref="P11">COUNTIFS(Product_Type,Insights!$L11,Order_Priority,Insights!P$7)</f>
        <v>6</v>
      </c>
    </row>
    <row r="12" spans="1:18" x14ac:dyDescent="0.3">
      <c r="B12" s="18">
        <v>6</v>
      </c>
      <c r="C12" s="13" t="str">
        <v>Kosovo</v>
      </c>
      <c r="D12" s="9">
        <f>SUMIF(Europe_Sales_Records__2[Country], Insights!$C12, Europe_Sales_Records__2[Total Revenue])</f>
        <v>3665651.84</v>
      </c>
      <c r="G12" s="18">
        <v>6</v>
      </c>
      <c r="H12" s="13" t="str">
        <v>Russia</v>
      </c>
      <c r="I12" s="30">
        <v>6876714.1100000003</v>
      </c>
      <c r="K12" s="18">
        <v>5</v>
      </c>
      <c r="L12" s="14" t="str">
        <v>Meat</v>
      </c>
      <c r="M12" s="23" cm="1">
        <f t="array" ref="M12">COUNTIFS(Product_Type,Insights!$L12,Order_Priority,Insights!M$7)</f>
        <v>6</v>
      </c>
      <c r="N12" s="23" cm="1">
        <f t="array" ref="N12">COUNTIFS(Product_Type,Insights!$L12,Order_Priority,Insights!N$7)</f>
        <v>5</v>
      </c>
      <c r="O12" s="23" cm="1">
        <f t="array" ref="O12">COUNTIFS(Product_Type,Insights!$L12,Order_Priority,Insights!O$7)</f>
        <v>3</v>
      </c>
      <c r="P12" s="26" cm="1">
        <f t="array" ref="P12">COUNTIFS(Product_Type,Insights!$L12,Order_Priority,Insights!P$7)</f>
        <v>3</v>
      </c>
    </row>
    <row r="13" spans="1:18" x14ac:dyDescent="0.3">
      <c r="B13" s="18">
        <v>7</v>
      </c>
      <c r="C13" s="13" t="str">
        <v>Ireland</v>
      </c>
      <c r="D13" s="9">
        <f>SUMIF(Europe_Sales_Records__2[Country], Insights!$C13, Europe_Sales_Records__2[Total Revenue])</f>
        <v>595802.89</v>
      </c>
      <c r="G13" s="18">
        <v>7</v>
      </c>
      <c r="H13" s="13" t="str">
        <v>San Marino</v>
      </c>
      <c r="I13" s="30">
        <v>5458164.21</v>
      </c>
      <c r="K13" s="21">
        <v>6</v>
      </c>
      <c r="L13" s="16" t="str">
        <v>Household</v>
      </c>
      <c r="M13" s="27" cm="1">
        <f t="array" ref="M13">COUNTIFS(Product_Type,Insights!$L13,Order_Priority,Insights!M$7)</f>
        <v>0</v>
      </c>
      <c r="N13" s="27" cm="1">
        <f t="array" ref="N13">COUNTIFS(Product_Type,Insights!$L13,Order_Priority,Insights!N$7)</f>
        <v>3</v>
      </c>
      <c r="O13" s="27" cm="1">
        <f t="array" ref="O13">COUNTIFS(Product_Type,Insights!$L13,Order_Priority,Insights!O$7)</f>
        <v>2</v>
      </c>
      <c r="P13" s="28" cm="1">
        <f t="array" ref="P13">COUNTIFS(Product_Type,Insights!$L13,Order_Priority,Insights!P$7)</f>
        <v>2</v>
      </c>
    </row>
    <row r="14" spans="1:18" x14ac:dyDescent="0.3">
      <c r="B14" s="18">
        <v>8</v>
      </c>
      <c r="C14" s="13" t="str">
        <v>Germany</v>
      </c>
      <c r="D14" s="9">
        <f>SUMIF(Europe_Sales_Records__2[Country], Insights!$C14, Europe_Sales_Records__2[Total Revenue])</f>
        <v>1567758.27</v>
      </c>
      <c r="G14" s="18">
        <v>8</v>
      </c>
      <c r="H14" s="13" t="str">
        <v>Serbia</v>
      </c>
      <c r="I14" s="30">
        <v>5079035.8000000007</v>
      </c>
    </row>
    <row r="15" spans="1:18" x14ac:dyDescent="0.3">
      <c r="B15" s="18">
        <v>9</v>
      </c>
      <c r="C15" s="13" t="str">
        <v>France</v>
      </c>
      <c r="D15" s="9">
        <f>SUMIF(Europe_Sales_Records__2[Country], Insights!$C15, Europe_Sales_Records__2[Total Revenue])</f>
        <v>956371.97</v>
      </c>
      <c r="G15" s="18">
        <v>9</v>
      </c>
      <c r="H15" s="13" t="str">
        <v>Slovenia</v>
      </c>
      <c r="I15" s="30">
        <v>4672543.84</v>
      </c>
    </row>
    <row r="16" spans="1:18" x14ac:dyDescent="0.3">
      <c r="B16" s="18">
        <v>10</v>
      </c>
      <c r="C16" s="13" t="str">
        <v>Finland</v>
      </c>
      <c r="D16" s="9">
        <f>SUMIF(Europe_Sales_Records__2[Country], Insights!$C16, Europe_Sales_Records__2[Total Revenue])</f>
        <v>4221332.17</v>
      </c>
      <c r="G16" s="21">
        <v>10</v>
      </c>
      <c r="H16" s="15" t="str">
        <v>Latvia</v>
      </c>
      <c r="I16" s="31">
        <v>4633762.68</v>
      </c>
    </row>
    <row r="17" spans="2:14" x14ac:dyDescent="0.3">
      <c r="B17" s="18">
        <v>11</v>
      </c>
      <c r="C17" s="13" t="str">
        <v>Cyprus</v>
      </c>
      <c r="D17" s="9">
        <f>SUMIF(Europe_Sales_Records__2[Country], Insights!$C17, Europe_Sales_Records__2[Total Revenue])</f>
        <v>1472505.48</v>
      </c>
      <c r="I17" s="7"/>
    </row>
    <row r="18" spans="2:14" x14ac:dyDescent="0.3">
      <c r="B18" s="18">
        <v>12</v>
      </c>
      <c r="C18" s="13" t="str">
        <v>Belgium</v>
      </c>
      <c r="D18" s="9">
        <f>SUMIF(Europe_Sales_Records__2[Country], Insights!$C18, Europe_Sales_Records__2[Total Revenue])</f>
        <v>1532114.1800000002</v>
      </c>
      <c r="I18" s="7"/>
    </row>
    <row r="19" spans="2:14" x14ac:dyDescent="0.3">
      <c r="B19" s="18">
        <v>13</v>
      </c>
      <c r="C19" s="13" t="str">
        <v>Belarus</v>
      </c>
      <c r="D19" s="9">
        <f>SUMIF(Europe_Sales_Records__2[Country], Insights!$C19, Europe_Sales_Records__2[Total Revenue])</f>
        <v>2682298.42</v>
      </c>
    </row>
    <row r="20" spans="2:14" x14ac:dyDescent="0.3">
      <c r="B20" s="18">
        <v>14</v>
      </c>
      <c r="C20" s="13" t="str">
        <v>Armenia</v>
      </c>
      <c r="D20" s="9">
        <f>SUMIF(Europe_Sales_Records__2[Country], Insights!$C20, Europe_Sales_Records__2[Total Revenue])</f>
        <v>3158023.3299999996</v>
      </c>
      <c r="G20" s="40" t="s">
        <v>463</v>
      </c>
      <c r="H20" s="41"/>
      <c r="I20" s="42"/>
      <c r="K20" s="44" t="s">
        <v>465</v>
      </c>
      <c r="L20" s="45"/>
      <c r="M20" s="45"/>
      <c r="N20" s="46"/>
    </row>
    <row r="21" spans="2:14" x14ac:dyDescent="0.3">
      <c r="B21" s="18">
        <v>15</v>
      </c>
      <c r="C21" s="13" t="str">
        <v>Albania</v>
      </c>
      <c r="D21" s="9">
        <f>SUMIF(Europe_Sales_Records__2[Country], Insights!$C21, Europe_Sales_Records__2[Total Revenue])</f>
        <v>1643231.46</v>
      </c>
      <c r="M21" t="s">
        <v>3</v>
      </c>
    </row>
    <row r="22" spans="2:14" x14ac:dyDescent="0.3">
      <c r="B22" s="18">
        <v>16</v>
      </c>
      <c r="C22" s="13" t="str">
        <v>United Kingdom</v>
      </c>
      <c r="D22" s="9">
        <f>SUMIF(Europe_Sales_Records__2[Country], Insights!$C22, Europe_Sales_Records__2[Total Revenue])</f>
        <v>1175989.4099999999</v>
      </c>
      <c r="G22" s="35" t="s">
        <v>467</v>
      </c>
      <c r="H22" s="33" t="s">
        <v>466</v>
      </c>
      <c r="I22" s="34" t="s">
        <v>469</v>
      </c>
      <c r="K22" s="32" t="s">
        <v>467</v>
      </c>
      <c r="L22" s="37" t="s">
        <v>466</v>
      </c>
      <c r="M22" s="38" t="str" cm="1">
        <f t="array" ref="M22:N22">TRANSPOSE(_xlfn.UNIQUE(Europe_Sales_Records__2[Sales Channel]))</f>
        <v>Online</v>
      </c>
      <c r="N22" s="39" t="str">
        <v>Offline</v>
      </c>
    </row>
    <row r="23" spans="2:14" x14ac:dyDescent="0.3">
      <c r="B23" s="18">
        <v>17</v>
      </c>
      <c r="C23" s="13" t="str">
        <v>Ukraine</v>
      </c>
      <c r="D23" s="9">
        <f>SUMIF(Europe_Sales_Records__2[Country], Insights!$C23, Europe_Sales_Records__2[Total Revenue])</f>
        <v>1034775.8500000001</v>
      </c>
      <c r="G23" s="17">
        <v>1</v>
      </c>
      <c r="H23" s="11" t="str" cm="1">
        <f t="array" ref="H23:H28">_xlfn.UNIQUE(Europe_Sales_Records__2[Product Type])</f>
        <v>Vegetables</v>
      </c>
      <c r="I23" s="29">
        <f>SUMIF(Europe_Sales_Records__2[Product Type], Insights!$H23, Europe_Sales_Records__2[Total Profit])</f>
        <v>5580439.4800000004</v>
      </c>
      <c r="K23" s="17">
        <v>1</v>
      </c>
      <c r="L23" s="12" t="str" cm="1">
        <f t="array" ref="L23:L28">_xlfn.UNIQUE(Europe_Sales_Records__2[Product Type])</f>
        <v>Vegetables</v>
      </c>
      <c r="M23" s="19" cm="1">
        <f t="array" ref="M23">COUNTIFS(Europe_Sales_Records__2[Clean Product Type],$L23,Sales_Channel,M$22)</f>
        <v>8</v>
      </c>
      <c r="N23" s="25" cm="1">
        <f t="array" ref="N23">COUNTIFS(Europe_Sales_Records__2[Clean Product Type],$L23,Sales_Channel,N$22)</f>
        <v>9</v>
      </c>
    </row>
    <row r="24" spans="2:14" x14ac:dyDescent="0.3">
      <c r="B24" s="18">
        <v>18</v>
      </c>
      <c r="C24" s="13" t="str">
        <v>Slovakia</v>
      </c>
      <c r="D24" s="9">
        <f>SUMIF(Europe_Sales_Records__2[Country], Insights!$C24, Europe_Sales_Records__2[Total Revenue])</f>
        <v>1102632.01</v>
      </c>
      <c r="G24" s="18">
        <v>2</v>
      </c>
      <c r="H24" s="13" t="str">
        <v>Snacks</v>
      </c>
      <c r="I24" s="30">
        <f>SUMIF(Europe_Sales_Records__2[Product Type], Insights!$H24, Europe_Sales_Records__2[Total Profit])</f>
        <v>4007023.8000000007</v>
      </c>
      <c r="K24" s="18">
        <v>2</v>
      </c>
      <c r="L24" s="14" t="str">
        <v>Snacks</v>
      </c>
      <c r="M24" s="20" cm="1">
        <f t="array" ref="M24">COUNTIFS(Europe_Sales_Records__2[Clean Product Type],$L24,Sales_Channel,M$22)</f>
        <v>11</v>
      </c>
      <c r="N24" s="26" cm="1">
        <f t="array" ref="N24">COUNTIFS(Europe_Sales_Records__2[Clean Product Type],$L24,Sales_Channel,N$22)</f>
        <v>6</v>
      </c>
    </row>
    <row r="25" spans="2:14" x14ac:dyDescent="0.3">
      <c r="B25" s="18">
        <v>19</v>
      </c>
      <c r="C25" s="13" t="str">
        <v>San Marino</v>
      </c>
      <c r="D25" s="9">
        <f>SUMIF(Europe_Sales_Records__2[Country], Insights!$C25, Europe_Sales_Records__2[Total Revenue])</f>
        <v>5458164.21</v>
      </c>
      <c r="G25" s="18">
        <v>3</v>
      </c>
      <c r="H25" s="13" t="str">
        <v>Personal Care</v>
      </c>
      <c r="I25" s="30">
        <f>SUMIF(Europe_Sales_Records__2[Product Type], Insights!$H25, Europe_Sales_Records__2[Total Profit])</f>
        <v>2789954.86</v>
      </c>
      <c r="K25" s="18">
        <v>3</v>
      </c>
      <c r="L25" s="14" t="str">
        <v>Personal Care</v>
      </c>
      <c r="M25" s="20" cm="1">
        <f t="array" ref="M25">COUNTIFS(Europe_Sales_Records__2[Clean Product Type],$L25,Sales_Channel,M$22)</f>
        <v>11</v>
      </c>
      <c r="N25" s="26" cm="1">
        <f t="array" ref="N25">COUNTIFS(Europe_Sales_Records__2[Clean Product Type],$L25,Sales_Channel,N$22)</f>
        <v>12</v>
      </c>
    </row>
    <row r="26" spans="2:14" x14ac:dyDescent="0.3">
      <c r="B26" s="18">
        <v>20</v>
      </c>
      <c r="C26" s="13" t="str">
        <v>Romania</v>
      </c>
      <c r="D26" s="9">
        <f>SUMIF(Europe_Sales_Records__2[Country], Insights!$C26, Europe_Sales_Records__2[Total Revenue])</f>
        <v>1572200.8199999998</v>
      </c>
      <c r="G26" s="18">
        <v>4</v>
      </c>
      <c r="H26" s="13" t="str">
        <v>Office Supplies</v>
      </c>
      <c r="I26" s="30">
        <f>SUMIF(Europe_Sales_Records__2[Product Type], Insights!$H26, Europe_Sales_Records__2[Total Profit])</f>
        <v>9527582.5</v>
      </c>
      <c r="K26" s="18">
        <v>4</v>
      </c>
      <c r="L26" s="14" t="str">
        <v>Office Supplies</v>
      </c>
      <c r="M26" s="20" cm="1">
        <f t="array" ref="M26">COUNTIFS(Europe_Sales_Records__2[Clean Product Type],$L26,Sales_Channel,M$22)</f>
        <v>8</v>
      </c>
      <c r="N26" s="26" cm="1">
        <f t="array" ref="N26">COUNTIFS(Europe_Sales_Records__2[Clean Product Type],$L26,Sales_Channel,N$22)</f>
        <v>10</v>
      </c>
    </row>
    <row r="27" spans="2:14" x14ac:dyDescent="0.3">
      <c r="B27" s="18">
        <v>21</v>
      </c>
      <c r="C27" s="13" t="str">
        <v>Latvia</v>
      </c>
      <c r="D27" s="9">
        <f>SUMIF(Europe_Sales_Records__2[Country], Insights!$C27, Europe_Sales_Records__2[Total Revenue])</f>
        <v>4633762.68</v>
      </c>
      <c r="G27" s="18">
        <v>5</v>
      </c>
      <c r="H27" s="13" t="str">
        <v>Meat</v>
      </c>
      <c r="I27" s="30">
        <f>SUMIF(Europe_Sales_Records__2[Product Type], Insights!$H27, Europe_Sales_Records__2[Total Profit])</f>
        <v>4496949.6000000006</v>
      </c>
      <c r="K27" s="18">
        <v>5</v>
      </c>
      <c r="L27" s="14" t="str">
        <v>Meat</v>
      </c>
      <c r="M27" s="20" cm="1">
        <f t="array" ref="M27">COUNTIFS(Europe_Sales_Records__2[Clean Product Type],$L27,Sales_Channel,M$22)</f>
        <v>8</v>
      </c>
      <c r="N27" s="26" cm="1">
        <f t="array" ref="N27">COUNTIFS(Europe_Sales_Records__2[Clean Product Type],$L27,Sales_Channel,N$22)</f>
        <v>9</v>
      </c>
    </row>
    <row r="28" spans="2:14" x14ac:dyDescent="0.3">
      <c r="B28" s="18">
        <v>22</v>
      </c>
      <c r="C28" s="13" t="str">
        <v>Italy</v>
      </c>
      <c r="D28" s="9">
        <f>SUMIF(Europe_Sales_Records__2[Country], Insights!$C28, Europe_Sales_Records__2[Total Revenue])</f>
        <v>7674961.6500000004</v>
      </c>
      <c r="G28" s="21">
        <v>6</v>
      </c>
      <c r="H28" s="15" t="str">
        <v>Household</v>
      </c>
      <c r="I28" s="31">
        <f>SUMIF(Europe_Sales_Records__2[Product Type], Insights!$H28, Europe_Sales_Records__2[Total Profit])</f>
        <v>2142060.25</v>
      </c>
      <c r="K28" s="21">
        <v>6</v>
      </c>
      <c r="L28" s="16" t="str">
        <v>Household</v>
      </c>
      <c r="M28" s="22" cm="1">
        <f t="array" ref="M28">COUNTIFS(Europe_Sales_Records__2[Clean Product Type],$L28,Sales_Channel,M$22)</f>
        <v>2</v>
      </c>
      <c r="N28" s="28" cm="1">
        <f t="array" ref="N28">COUNTIFS(Europe_Sales_Records__2[Clean Product Type],$L28,Sales_Channel,N$22)</f>
        <v>5</v>
      </c>
    </row>
    <row r="29" spans="2:14" x14ac:dyDescent="0.3">
      <c r="B29" s="18">
        <v>23</v>
      </c>
      <c r="C29" s="13" t="str">
        <v>Iceland</v>
      </c>
      <c r="D29" s="9">
        <f>SUMIF(Europe_Sales_Records__2[Country], Insights!$C29, Europe_Sales_Records__2[Total Revenue])</f>
        <v>1287927.78</v>
      </c>
    </row>
    <row r="30" spans="2:14" x14ac:dyDescent="0.3">
      <c r="B30" s="18">
        <v>24</v>
      </c>
      <c r="C30" s="13" t="str">
        <v>Bulgaria</v>
      </c>
      <c r="D30" s="9">
        <f>SUMIF(Europe_Sales_Records__2[Country], Insights!$C30, Europe_Sales_Records__2[Total Revenue])</f>
        <v>8700690.4399999995</v>
      </c>
    </row>
    <row r="31" spans="2:14" x14ac:dyDescent="0.3">
      <c r="B31" s="18">
        <v>25</v>
      </c>
      <c r="C31" s="13" t="str">
        <v>Andorra</v>
      </c>
      <c r="D31" s="9">
        <f>SUMIF(Europe_Sales_Records__2[Country], Insights!$C31, Europe_Sales_Records__2[Total Revenue])</f>
        <v>3292737.52</v>
      </c>
    </row>
    <row r="32" spans="2:14" x14ac:dyDescent="0.3">
      <c r="B32" s="18">
        <v>26</v>
      </c>
      <c r="C32" s="13" t="str">
        <v>Russia</v>
      </c>
      <c r="D32" s="9">
        <f>SUMIF(Europe_Sales_Records__2[Country], Insights!$C32, Europe_Sales_Records__2[Total Revenue])</f>
        <v>6876714.1100000003</v>
      </c>
    </row>
    <row r="33" spans="2:4" x14ac:dyDescent="0.3">
      <c r="B33" s="18">
        <v>27</v>
      </c>
      <c r="C33" s="13" t="str">
        <v>Poland</v>
      </c>
      <c r="D33" s="9">
        <f>SUMIF(Europe_Sales_Records__2[Country], Insights!$C33, Europe_Sales_Records__2[Total Revenue])</f>
        <v>9586346.3399999999</v>
      </c>
    </row>
    <row r="34" spans="2:4" x14ac:dyDescent="0.3">
      <c r="B34" s="18">
        <v>28</v>
      </c>
      <c r="C34" s="13" t="str">
        <v>Norway</v>
      </c>
      <c r="D34" s="9">
        <f>SUMIF(Europe_Sales_Records__2[Country], Insights!$C34, Europe_Sales_Records__2[Total Revenue])</f>
        <v>1513705.6</v>
      </c>
    </row>
    <row r="35" spans="2:4" x14ac:dyDescent="0.3">
      <c r="B35" s="18">
        <v>29</v>
      </c>
      <c r="C35" s="13" t="str">
        <v>Monaco</v>
      </c>
      <c r="D35" s="9">
        <f>SUMIF(Europe_Sales_Records__2[Country], Insights!$C35, Europe_Sales_Records__2[Total Revenue])</f>
        <v>511548.07</v>
      </c>
    </row>
    <row r="36" spans="2:4" x14ac:dyDescent="0.3">
      <c r="B36" s="18">
        <v>30</v>
      </c>
      <c r="C36" s="13" t="str">
        <v>Macedonia</v>
      </c>
      <c r="D36" s="9">
        <f>SUMIF(Europe_Sales_Records__2[Country], Insights!$C36, Europe_Sales_Records__2[Total Revenue])</f>
        <v>530345.97</v>
      </c>
    </row>
    <row r="37" spans="2:4" x14ac:dyDescent="0.3">
      <c r="B37" s="18">
        <v>31</v>
      </c>
      <c r="C37" s="13" t="str">
        <v>Lithuania</v>
      </c>
      <c r="D37" s="9">
        <f>SUMIF(Europe_Sales_Records__2[Country], Insights!$C37, Europe_Sales_Records__2[Total Revenue])</f>
        <v>1391149.71</v>
      </c>
    </row>
    <row r="38" spans="2:4" x14ac:dyDescent="0.3">
      <c r="B38" s="18">
        <v>32</v>
      </c>
      <c r="C38" s="13" t="str">
        <v>Greece</v>
      </c>
      <c r="D38" s="9">
        <f>SUMIF(Europe_Sales_Records__2[Country], Insights!$C38, Europe_Sales_Records__2[Total Revenue])</f>
        <v>718161.51</v>
      </c>
    </row>
    <row r="39" spans="2:4" x14ac:dyDescent="0.3">
      <c r="B39" s="18">
        <v>33</v>
      </c>
      <c r="C39" s="13" t="str">
        <v>Czech Republic</v>
      </c>
      <c r="D39" s="9">
        <f>SUMIF(Europe_Sales_Records__2[Country], Insights!$C39, Europe_Sales_Records__2[Total Revenue])</f>
        <v>190757.82</v>
      </c>
    </row>
    <row r="40" spans="2:4" x14ac:dyDescent="0.3">
      <c r="B40" s="18">
        <v>34</v>
      </c>
      <c r="C40" s="13" t="str">
        <v>Bosnia and Herzegovina</v>
      </c>
      <c r="D40" s="9">
        <f>SUMIF(Europe_Sales_Records__2[Country], Insights!$C40, Europe_Sales_Records__2[Total Revenue])</f>
        <v>7947356.5899999999</v>
      </c>
    </row>
    <row r="41" spans="2:4" x14ac:dyDescent="0.3">
      <c r="B41" s="18">
        <v>35</v>
      </c>
      <c r="C41" s="13" t="str">
        <v>Portugal</v>
      </c>
      <c r="D41" s="9">
        <f>SUMIF(Europe_Sales_Records__2[Country], Insights!$C41, Europe_Sales_Records__2[Total Revenue])</f>
        <v>9829878.2400000002</v>
      </c>
    </row>
    <row r="42" spans="2:4" x14ac:dyDescent="0.3">
      <c r="B42" s="18">
        <v>36</v>
      </c>
      <c r="C42" s="13" t="str">
        <v>Montenegro</v>
      </c>
      <c r="D42" s="9">
        <f>SUMIF(Europe_Sales_Records__2[Country], Insights!$C42, Europe_Sales_Records__2[Total Revenue])</f>
        <v>1993353.81</v>
      </c>
    </row>
    <row r="43" spans="2:4" x14ac:dyDescent="0.3">
      <c r="B43" s="18">
        <v>37</v>
      </c>
      <c r="C43" s="13" t="str">
        <v>Austria</v>
      </c>
      <c r="D43" s="9">
        <f>SUMIF(Europe_Sales_Records__2[Country], Insights!$C43, Europe_Sales_Records__2[Total Revenue])</f>
        <v>1245764.73</v>
      </c>
    </row>
    <row r="44" spans="2:4" x14ac:dyDescent="0.3">
      <c r="B44" s="18">
        <v>38</v>
      </c>
      <c r="C44" s="13" t="str">
        <v>Switzerland</v>
      </c>
      <c r="D44" s="9">
        <f>SUMIF(Europe_Sales_Records__2[Country], Insights!$C44, Europe_Sales_Records__2[Total Revenue])</f>
        <v>784715.4</v>
      </c>
    </row>
    <row r="45" spans="2:4" x14ac:dyDescent="0.3">
      <c r="B45" s="18">
        <v>39</v>
      </c>
      <c r="C45" s="13" t="str">
        <v>Spain</v>
      </c>
      <c r="D45" s="9">
        <f>SUMIF(Europe_Sales_Records__2[Country], Insights!$C45, Europe_Sales_Records__2[Total Revenue])</f>
        <v>3248974.89</v>
      </c>
    </row>
    <row r="46" spans="2:4" x14ac:dyDescent="0.3">
      <c r="B46" s="18">
        <v>40</v>
      </c>
      <c r="C46" s="13" t="str">
        <v>Netherlands</v>
      </c>
      <c r="D46" s="9">
        <f>SUMIF(Europe_Sales_Records__2[Country], Insights!$C46, Europe_Sales_Records__2[Total Revenue])</f>
        <v>2980218.74</v>
      </c>
    </row>
    <row r="47" spans="2:4" x14ac:dyDescent="0.3">
      <c r="B47" s="21">
        <v>41</v>
      </c>
      <c r="C47" s="15" t="str">
        <v>Slovenia</v>
      </c>
      <c r="D47" s="10">
        <f>SUMIF(Europe_Sales_Records__2[Country], Insights!$C47, Europe_Sales_Records__2[Total Revenue])</f>
        <v>4672543.84</v>
      </c>
    </row>
    <row r="48" spans="2:4" x14ac:dyDescent="0.3">
      <c r="D48" s="7"/>
    </row>
    <row r="49" spans="4:4" x14ac:dyDescent="0.3">
      <c r="D49" s="7"/>
    </row>
    <row r="50" spans="4:4" x14ac:dyDescent="0.3">
      <c r="D50" s="7"/>
    </row>
    <row r="51" spans="4:4" x14ac:dyDescent="0.3">
      <c r="D51" s="7"/>
    </row>
    <row r="52" spans="4:4" x14ac:dyDescent="0.3">
      <c r="D52" s="7"/>
    </row>
    <row r="53" spans="4:4" x14ac:dyDescent="0.3">
      <c r="D53" s="7"/>
    </row>
    <row r="54" spans="4:4" x14ac:dyDescent="0.3">
      <c r="D54" s="7"/>
    </row>
    <row r="55" spans="4:4" x14ac:dyDescent="0.3">
      <c r="D55" s="7"/>
    </row>
    <row r="56" spans="4:4" x14ac:dyDescent="0.3">
      <c r="D56" s="7"/>
    </row>
    <row r="60" spans="4:4" x14ac:dyDescent="0.3">
      <c r="D60" s="7"/>
    </row>
    <row r="61" spans="4:4" x14ac:dyDescent="0.3">
      <c r="D61" s="7"/>
    </row>
    <row r="62" spans="4:4" x14ac:dyDescent="0.3">
      <c r="D62" s="7"/>
    </row>
    <row r="63" spans="4:4" x14ac:dyDescent="0.3">
      <c r="D63" s="7"/>
    </row>
    <row r="64" spans="4:4" x14ac:dyDescent="0.3">
      <c r="D64" s="7"/>
    </row>
    <row r="65" spans="4:4" x14ac:dyDescent="0.3">
      <c r="D65" s="7"/>
    </row>
  </sheetData>
  <mergeCells count="6">
    <mergeCell ref="B4:D4"/>
    <mergeCell ref="A1:R1"/>
    <mergeCell ref="G4:I4"/>
    <mergeCell ref="G20:I20"/>
    <mergeCell ref="K20:N20"/>
    <mergeCell ref="K4:P4"/>
  </mergeCells>
  <conditionalFormatting sqref="D7:D47">
    <cfRule type="dataBar" priority="3">
      <dataBar>
        <cfvo type="min"/>
        <cfvo type="max"/>
        <color theme="5" tint="0.59999389629810485"/>
      </dataBar>
      <extLst>
        <ext xmlns:x14="http://schemas.microsoft.com/office/spreadsheetml/2009/9/main" uri="{B025F937-C7B1-47D3-B67F-A62EFF666E3E}">
          <x14:id>{D19A6313-167F-4E84-AA6D-0039D38053E3}</x14:id>
        </ext>
      </extLst>
    </cfRule>
    <cfRule type="dataBar" priority="4">
      <dataBar>
        <cfvo type="min"/>
        <cfvo type="max"/>
        <color rgb="FFFD8D90"/>
      </dataBar>
      <extLst>
        <ext xmlns:x14="http://schemas.microsoft.com/office/spreadsheetml/2009/9/main" uri="{B025F937-C7B1-47D3-B67F-A62EFF666E3E}">
          <x14:id>{8A178EFB-4FB4-4C5A-8510-DADBF4DA0F06}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{23D94382-B954-42BE-99EE-F8B98DB37EA4}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{8E5BEAAB-FB72-4188-A8AE-E94B1D04F9FA}</x14:id>
        </ext>
      </extLst>
    </cfRule>
  </conditionalFormatting>
  <conditionalFormatting sqref="I23:I28">
    <cfRule type="dataBar" priority="2">
      <dataBar>
        <cfvo type="min"/>
        <cfvo type="max"/>
        <color theme="5" tint="0.59999389629810485"/>
      </dataBar>
      <extLst>
        <ext xmlns:x14="http://schemas.microsoft.com/office/spreadsheetml/2009/9/main" uri="{B025F937-C7B1-47D3-B67F-A62EFF666E3E}">
          <x14:id>{A087A8B9-CE90-4664-906F-B713EC3080F7}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{B40BF920-7722-4E6F-844B-49A3CBE7C3C6}</x14:id>
        </ext>
      </extLst>
    </cfRule>
  </conditionalFormatting>
  <conditionalFormatting sqref="M8:P13">
    <cfRule type="colorScale" priority="14">
      <colorScale>
        <cfvo type="min"/>
        <cfvo type="percentile" val="50"/>
        <cfvo type="max"/>
        <color theme="5" tint="0.39997558519241921"/>
        <color rgb="FFFCFCFF"/>
        <color theme="0" tint="-0.34998626667073579"/>
      </colorScale>
    </cfRule>
  </conditionalFormatting>
  <conditionalFormatting sqref="I7:I16">
    <cfRule type="top10" dxfId="1" priority="6" rank="3"/>
  </conditionalFormatting>
  <conditionalFormatting sqref="M23:N28">
    <cfRule type="colorScale" priority="1">
      <colorScale>
        <cfvo type="min"/>
        <cfvo type="percentile" val="50"/>
        <cfvo type="max"/>
        <color theme="5" tint="0.39997558519241921"/>
        <color rgb="FFFCFCFF"/>
        <color theme="0" tint="-0.34998626667073579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9A6313-167F-4E84-AA6D-0039D38053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178EFB-4FB4-4C5A-8510-DADBF4DA0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94382-B954-42BE-99EE-F8B98DB37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5BEAAB-FB72-4188-A8AE-E94B1D04F9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D7:D47</xm:sqref>
        </x14:conditionalFormatting>
        <x14:conditionalFormatting xmlns:xm="http://schemas.microsoft.com/office/excel/2006/main">
          <x14:cfRule type="dataBar" id="{A087A8B9-CE90-4664-906F-B713EC308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0BF920-7722-4E6F-844B-49A3CBE7C3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I23:I28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9D1DC-21C4-4DDC-8E1C-305514FE43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Raw-Sales Dataset</vt:lpstr>
      <vt:lpstr>Cleaned-Sales Dataset</vt:lpstr>
      <vt:lpstr>Insights</vt:lpstr>
      <vt:lpstr>Cleaned_Product_Type</vt:lpstr>
      <vt:lpstr>Order_Priority</vt:lpstr>
      <vt:lpstr>Product_Type</vt:lpstr>
      <vt:lpstr>Sales_Channel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Batool</dc:creator>
  <cp:lastModifiedBy>Ayesha Batool</cp:lastModifiedBy>
  <dcterms:created xsi:type="dcterms:W3CDTF">2026-02-27T09:45:58Z</dcterms:created>
  <dcterms:modified xsi:type="dcterms:W3CDTF">2026-03-09T14:50:22Z</dcterms:modified>
</cp:coreProperties>
</file>